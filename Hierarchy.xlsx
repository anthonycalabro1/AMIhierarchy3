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eyus-my.sharepoint.com/personal/tony_calabro_ey_com/Documents/Desktop/Cursor/Hierarchy 2/"/>
    </mc:Choice>
  </mc:AlternateContent>
  <xr:revisionPtr revIDLastSave="107" documentId="8_{C68F66A9-1957-40DF-B36F-8EBA27627BC7}" xr6:coauthVersionLast="47" xr6:coauthVersionMax="47" xr10:uidLastSave="{EB829E16-C68C-4598-BE43-6F4314877899}"/>
  <bookViews>
    <workbookView xWindow="-120" yWindow="-120" windowWidth="29040" windowHeight="15720" xr2:uid="{C5CF7D8D-18C1-4DA6-BBC5-CBC3C1BDFBAD}"/>
  </bookViews>
  <sheets>
    <sheet name="Process Hierarchy" sheetId="5" r:id="rId1"/>
    <sheet name="Breakdown" sheetId="4" r:id="rId2"/>
    <sheet name="Not Applicable" sheetId="2" r:id="rId3"/>
    <sheet name="Process Hier (ARCHIVE)" sheetId="1" r:id="rId4"/>
  </sheets>
  <definedNames>
    <definedName name="_xlnm._FilterDatabase" localSheetId="3" hidden="1">'Process Hier (ARCHIVE)'!$A$1:$H$118</definedName>
    <definedName name="_xlnm._FilterDatabase" localSheetId="0" hidden="1">'Process Hierarchy'!$A$1:$H$117</definedName>
  </definedNames>
  <calcPr calcId="191028"/>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4" l="1"/>
  <c r="C23" i="4"/>
  <c r="D23" i="4"/>
  <c r="B23" i="4"/>
  <c r="C22" i="4"/>
  <c r="D22" i="4"/>
  <c r="B22" i="4"/>
  <c r="B17" i="4"/>
  <c r="I18" i="4"/>
  <c r="I17" i="4"/>
  <c r="H18" i="4"/>
  <c r="H17" i="4"/>
  <c r="H16" i="4"/>
  <c r="C17" i="4"/>
  <c r="B18" i="4"/>
  <c r="D24" i="4"/>
  <c r="C24" i="4"/>
  <c r="C18" i="4"/>
  <c r="B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tc={FEEF030B-DA5E-4692-A97B-6F20D52A386C}</author>
    <author>tc={00B994E0-7A92-4D97-86E9-8E355BFE690C}</author>
    <author>tc={FFDB8243-F3E1-4D27-93FB-35D7FDAECC48}</author>
    <author>tc={A92942D8-8D43-4290-9F76-2E2E72913B68}</author>
    <author>tc={75C3F44E-861C-4687-B291-4BEDC98527EE}</author>
  </authors>
  <commentList>
    <comment ref="C23" authorId="0" shapeId="0" xr:uid="{FEEF030B-DA5E-4692-A97B-6F20D52A386C}">
      <text>
        <t>[Threaded comment]
Your version of Excel allows you to read this threaded comment; however, any edits to it will get removed if the file is opened in a newer version of Excel. Learn more: https://go.microsoft.com/fwlink/?linkid=870924
Comment:
    How impacted by AMI? Seems like a legacy process</t>
      </text>
    </comment>
    <comment ref="C24" authorId="1" shapeId="0" xr:uid="{00B994E0-7A92-4D97-86E9-8E355BFE690C}">
      <text>
        <t>[Threaded comment]
Your version of Excel allows you to read this threaded comment; however, any edits to it will get removed if the file is opened in a newer version of Excel. Learn more: https://go.microsoft.com/fwlink/?linkid=870924
Comment:
    How is this an AMI process?  This doesn’t seem to be something driven AMI</t>
      </text>
    </comment>
    <comment ref="C26" authorId="2" shapeId="0" xr:uid="{FFDB8243-F3E1-4D27-93FB-35D7FDAECC48}">
      <text>
        <t>[Threaded comment]
Your version of Excel allows you to read this threaded comment; however, any edits to it will get removed if the file is opened in a newer version of Excel. Learn more: https://go.microsoft.com/fwlink/?linkid=870924
Comment:
    Technical process not business process</t>
      </text>
    </comment>
    <comment ref="C27" authorId="3" shapeId="0" xr:uid="{A92942D8-8D43-4290-9F76-2E2E72913B68}">
      <text>
        <t>[Threaded comment]
Your version of Excel allows you to read this threaded comment; however, any edits to it will get removed if the file is opened in a newer version of Excel. Learn more: https://go.microsoft.com/fwlink/?linkid=870924
Comment:
    This doesn’t feel like a capability of the production system</t>
      </text>
    </comment>
    <comment ref="C28" authorId="4" shapeId="0" xr:uid="{75C3F44E-861C-4687-B291-4BEDC98527EE}">
      <text>
        <t>[Threaded comment]
Your version of Excel allows you to read this threaded comment; however, any edits to it will get removed if the file is opened in a newer version of Excel. Learn more: https://go.microsoft.com/fwlink/?linkid=870924
Comment:
    This doesn’t feel like a capabilities of the production system. Not sure who was asking for this.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tc={9C7F1D5E-E9EC-4228-996C-3A3B1AEAB5A8}</author>
  </authors>
  <commentList>
    <comment ref="C29" authorId="0" shapeId="0" xr:uid="{9C7F1D5E-E9EC-4228-996C-3A3B1AEAB5A8}">
      <text>
        <t>[Threaded comment]
Your version of Excel allows you to read this threaded comment; however, any edits to it will get removed if the file is opened in a newer version of Excel. Learn more: https://go.microsoft.com/fwlink/?linkid=870924
Comment:
    Could this be combined with calculate bill?</t>
      </text>
    </comment>
  </commentList>
</comments>
</file>

<file path=xl/sharedStrings.xml><?xml version="1.0" encoding="utf-8"?>
<sst xmlns="http://schemas.openxmlformats.org/spreadsheetml/2006/main" count="2299" uniqueCount="552">
  <si>
    <t>L1 Process Name</t>
  </si>
  <si>
    <t>L2 Process Name</t>
  </si>
  <si>
    <t>L3 Process Name</t>
  </si>
  <si>
    <t>L3 Process Objective</t>
  </si>
  <si>
    <t>Use Case Mapping</t>
  </si>
  <si>
    <t>IT Release</t>
  </si>
  <si>
    <t>BRD Size</t>
  </si>
  <si>
    <t>Comments</t>
  </si>
  <si>
    <t>Response</t>
  </si>
  <si>
    <t>Resolution</t>
  </si>
  <si>
    <t>Customer Engagement &amp; Billing</t>
  </si>
  <si>
    <t>Manage meter-to-cash operations</t>
  </si>
  <si>
    <t>Calculate and validate interval-based bills</t>
  </si>
  <si>
    <t>Use Case 1 – Meter-to-Cash</t>
  </si>
  <si>
    <t>IT Release 1</t>
  </si>
  <si>
    <t>Medium</t>
  </si>
  <si>
    <t>Manage billing exceptions and rebills</t>
  </si>
  <si>
    <t>Identify, investigate, and resolve billing errors or anomalies to maintain billing accuracy and customer trust.</t>
  </si>
  <si>
    <t>IT Release 1 (retouched in IT Release 2)</t>
  </si>
  <si>
    <t>Generate and distribute bill print and e-bills</t>
  </si>
  <si>
    <t>Produce and issue customer bills through print and electronic delivery channels, ensuring timely distribution and compliance.</t>
  </si>
  <si>
    <t>Small</t>
  </si>
  <si>
    <t>Cancel and rebill</t>
  </si>
  <si>
    <t>Correct previously issued bills due to meter, data, or rate errors and reissue accurate versions.</t>
  </si>
  <si>
    <t>Validate and estimate missing data (VEE)</t>
  </si>
  <si>
    <t>Validate, estimate, or edit interval data where gaps or anomalies exist to ensure complete and accurate billing determinants.</t>
  </si>
  <si>
    <t>Manage rate optimization and program enrollment</t>
  </si>
  <si>
    <t>Model and recommend personalized rate plans</t>
  </si>
  <si>
    <t>Analyze usage and behavioral data to recommend optimal rate structures or incentives for customers.</t>
  </si>
  <si>
    <t>Use Case 2 – Optimizing Energy Savings with Personalized Incentives</t>
  </si>
  <si>
    <t>Simulate customer bill impacts</t>
  </si>
  <si>
    <t>Estimate and communicate bill impacts of rate plan changes or program participation.</t>
  </si>
  <si>
    <t>IT Release 1 (retouched in IT Release 3)</t>
  </si>
  <si>
    <t>Deploy approved rate plans</t>
  </si>
  <si>
    <t>Configure and deploy approved rate plans into CIS and billing systems.</t>
  </si>
  <si>
    <t>IT Release 2</t>
  </si>
  <si>
    <t>How process impacted by AMI?  I don't see how the new AMI asset or the data from the new AMI meters impacts this process</t>
  </si>
  <si>
    <r>
      <t xml:space="preserve">This process is only marginally influenced by AMI. The act of </t>
    </r>
    <r>
      <rPr>
        <i/>
        <sz val="11"/>
        <color theme="1"/>
        <rFont val="Aptos Narrow"/>
        <family val="2"/>
        <scheme val="minor"/>
      </rPr>
      <t>deploying rate plans into CIS</t>
    </r>
    <r>
      <rPr>
        <sz val="11"/>
        <color theme="1"/>
        <rFont val="Aptos Narrow"/>
        <family val="2"/>
        <scheme val="minor"/>
      </rPr>
      <t xml:space="preserve"> is primarily a billing configuration step, not one that directly leverages interval data or AMI device capabilities. However, new AMI-enabled TOU rates may require validation that interval data granularity aligns with CIS rate engines.</t>
    </r>
  </si>
  <si>
    <t>Keep only the configuration aspects that require integration between MDMS and CIS (e.g., validating interval feed supports TOU billing). Remove non-AMI portions to focus on metering-to-billing alignment.</t>
  </si>
  <si>
    <t>Manage revenue protection</t>
  </si>
  <si>
    <t>Use Case 4 – Revenue Protection</t>
  </si>
  <si>
    <t>Investigate and resolve revenue loss cases</t>
  </si>
  <si>
    <t>Conduct data-driven and field investigations to confirm theft or loss and take corrective action.</t>
  </si>
  <si>
    <t>Report revenue protection KPIs and trends</t>
  </si>
  <si>
    <t>Track and report performance of theft detection and revenue recovery programs.</t>
  </si>
  <si>
    <t>Manage customer communications and experience</t>
  </si>
  <si>
    <t>Deliver proactive outage and restoration notifications</t>
  </si>
  <si>
    <t>Provide automated outage, restoration, and usage alerts to customers based on AMI and OMS data.</t>
  </si>
  <si>
    <t>Use Case 3 – Improve Customer Experience, Use Case 5 – Advanced Outage Identification and Location Awareness</t>
  </si>
  <si>
    <t>IT Release 2 (retouched in IT Release 3)</t>
  </si>
  <si>
    <t>Provide personalized consumption insights</t>
  </si>
  <si>
    <t>Deliver disaggregated energy insights and usage summaries to customers through digital channels.</t>
  </si>
  <si>
    <t>Use Case 3 – Improve Customer Experience</t>
  </si>
  <si>
    <t>Manage customer notification preferences</t>
  </si>
  <si>
    <t>Maintain customer preferences for notification type, channel, and frequency across AMI programs.</t>
  </si>
  <si>
    <t>Manage customer data access and transparency</t>
  </si>
  <si>
    <t>Verify credentials and authorization for customers and approved third parties requesting usage or generation data.</t>
  </si>
  <si>
    <t>Use Case 6 – 3rd Party Meter Data Access</t>
  </si>
  <si>
    <t>IT Release 3</t>
  </si>
  <si>
    <t>Generate and deliver usage and generation reports through secure channels or APIs.</t>
  </si>
  <si>
    <t>Manage opt-out and customer choice programs</t>
  </si>
  <si>
    <t>Foundational – Not Mapped to SCE Use Case</t>
  </si>
  <si>
    <t xml:space="preserve">IT Release 1 </t>
  </si>
  <si>
    <t>Disable AMI communications for opt-out customers</t>
  </si>
  <si>
    <t>Remotely disable meter communications for customers who have opted out.</t>
  </si>
  <si>
    <t>Enable AMI communications for re-enrolled customers</t>
  </si>
  <si>
    <t>Re-enable meter communications for customers who rejoin AMI programs after opting out.</t>
  </si>
  <si>
    <t>Process opt-out customer move-in / move-out events</t>
  </si>
  <si>
    <t>Update enrollment and billing settings when opt-out customers move into or out of premises.</t>
  </si>
  <si>
    <t>Manage customer support and inquiries</t>
  </si>
  <si>
    <t>Handle AMI-related customer inquiries</t>
  </si>
  <si>
    <t>Respond to customer questions related to metering data, usage, and AMI benefits.</t>
  </si>
  <si>
    <t>Escalate unresolved AMI cases and close tickets</t>
  </si>
  <si>
    <t>Escalate unresolved cases to appropriate support tiers and ensure timely closure.</t>
  </si>
  <si>
    <t>Manage rate and billing configuration</t>
  </si>
  <si>
    <t>Configure and test dynamic or time-of-use rates</t>
  </si>
  <si>
    <t>Set up and test new rate structures in CIS to support TOU, EV, and DER-based tariffs.</t>
  </si>
  <si>
    <t>TOU rates are entirely dependent on interval data supplied by AMI. CIS configurations must align with MDMS-delivered intervals and quality flags. Therefore, the process defines key integration points (rate engine validation, VEE rules, interval completeness).</t>
  </si>
  <si>
    <t>It defines direct system dependencies between MDMS and CIS; crucial for TOU billing design. Must be retained and explicitly documented.</t>
  </si>
  <si>
    <t>Field Operations &amp; Deployment</t>
  </si>
  <si>
    <t>Plan and schedule meter deployment</t>
  </si>
  <si>
    <t>Use Case 14 – AMI 2.0 Interoperability</t>
  </si>
  <si>
    <t>Register received meters and network devices into asset tracking and head-end systems.</t>
  </si>
  <si>
    <t>Coordinate installation and commissioning</t>
  </si>
  <si>
    <t>Assign and execute installation work orders</t>
  </si>
  <si>
    <t>Dispatch and complete meter installation work orders via MIV or contractor systems, updating all related records.</t>
  </si>
  <si>
    <t>Validate communication and registration of newly installed meters with the head-end and MDMS systems.</t>
  </si>
  <si>
    <t>Perform meter exchange and re-commissioning</t>
  </si>
  <si>
    <t>Replace existing meters with AMI 2.0 devices and ensure proper deregistration, provisioning, and validation of new assets.</t>
  </si>
  <si>
    <t>Close MIV work orders and update dashboards</t>
  </si>
  <si>
    <t>Record job completion, capture installer performance data, and synchronize updates across enterprise systems.</t>
  </si>
  <si>
    <t>Manage field deployment quality and performance</t>
  </si>
  <si>
    <t>Use Case 5 – Advanced Outage Identification and Location Awareness</t>
  </si>
  <si>
    <t>Manage field exceptions and issue resolution</t>
  </si>
  <si>
    <t>Detect and categorize deployment exceptions</t>
  </si>
  <si>
    <t>Identify and classify installation exceptions such as access issues, data mismatches, or device failures.</t>
  </si>
  <si>
    <t>Manage MIV synchronization and file handling</t>
  </si>
  <si>
    <t>Manage MIV plan and synchronization</t>
  </si>
  <si>
    <t>Maintain MIV job plans and ensure synchronization of deployment data between MIV and enterprise systems.</t>
  </si>
  <si>
    <t>Detect and correct MIV file transfer or format errors to maintain deployment data integrity.</t>
  </si>
  <si>
    <t>Reconcile installation records between systems</t>
  </si>
  <si>
    <t>Cross-check installation completion data between MIV, MDMS, and CIS for consistency.</t>
  </si>
  <si>
    <t>Moved to IT Release 1</t>
  </si>
  <si>
    <t>Manage customer communication during deployment</t>
  </si>
  <si>
    <t>Notify customers of installation schedules</t>
  </si>
  <si>
    <t>Inform customers of upcoming installation dates and access requirements through preferred communication channels.</t>
  </si>
  <si>
    <t>Communicate completion and follow-up</t>
  </si>
  <si>
    <t>Notify customers upon successful installation and provide usage education or contact information for support.</t>
  </si>
  <si>
    <t>Manage deployment interoperability</t>
  </si>
  <si>
    <t>Coordinate utility and vendor system integration</t>
  </si>
  <si>
    <t>Ensure smooth data exchange between utility systems and multiple meter/network vendor platforms.</t>
  </si>
  <si>
    <t>Large</t>
  </si>
  <si>
    <t>Grid &amp; Outage Management</t>
  </si>
  <si>
    <t>Detect and locate outages</t>
  </si>
  <si>
    <t>Detect and validate outage events via AMI telemetry</t>
  </si>
  <si>
    <t>Identify outages from AMI last-gasp signals, validate through multiple data sources, and flag confirmed events.</t>
  </si>
  <si>
    <t>Cluster and prioritize outage events for dispatch</t>
  </si>
  <si>
    <t>Group and prioritize outages by severity, location, and customer impact to optimize restoration resources.</t>
  </si>
  <si>
    <t>Verify restoration and update OMS</t>
  </si>
  <si>
    <t>Manage outage communications</t>
  </si>
  <si>
    <t>Deliver outage and restoration notifications to customers</t>
  </si>
  <si>
    <t>Send real-time outage and restoration status updates to impacted customers through preferred communication channels.</t>
  </si>
  <si>
    <t>Coordinate field and customer service alignment during outages</t>
  </si>
  <si>
    <t>Ensure consistent information between field operations and call centers regarding outage status and restoration progress.</t>
  </si>
  <si>
    <t>Monitor feeder and transformer loading</t>
  </si>
  <si>
    <t>Aggregate and monitor feeder and transformer loads</t>
  </si>
  <si>
    <t>Collect and analyze feeder and transformer load data to detect overloads or unbalanced conditions.</t>
  </si>
  <si>
    <t>Use Case 10 – Performance and Health of Distribution System Assets</t>
  </si>
  <si>
    <t>Trigger corrective switching actions</t>
  </si>
  <si>
    <t>Use Case 12 – Switching Support, Outage Selection, and Controlled Restoration</t>
  </si>
  <si>
    <t>Detect voltage and power quality issues</t>
  </si>
  <si>
    <t>Analyze voltage, frequency, and harmonic data</t>
  </si>
  <si>
    <t>Monitor voltage, frequency, and harmonics from AMI data to identify power quality deviations.</t>
  </si>
  <si>
    <t>Classify and report power quality anomalies</t>
  </si>
  <si>
    <t>Categorize power quality events (sags, swells, harmonics) and report them to grid operations for resolution.</t>
  </si>
  <si>
    <t>Trigger voltage regulator or capacitor adjustments</t>
  </si>
  <si>
    <t>Recommend or automatically trigger voltage regulation adjustments based on AMI measurements.</t>
  </si>
  <si>
    <t>Detect and analyze behind-the-meter events</t>
  </si>
  <si>
    <t>Identify and classify EV charging signatures</t>
  </si>
  <si>
    <t>Detect load patterns associated with EV charging to enhance load forecasting and grid planning.</t>
  </si>
  <si>
    <t>Use Case 18 – Grid Ops: Situational Awareness</t>
  </si>
  <si>
    <t>Detect rooftop solar and battery generation</t>
  </si>
  <si>
    <t>Identify customer-installed DER generation events using AMI interval and harmonic data.</t>
  </si>
  <si>
    <t>Correlate load changes with customer profiles</t>
  </si>
  <si>
    <t>Analyze BTM load data with customer profiles to refine forecasting and anomaly detection.</t>
  </si>
  <si>
    <t>Use Case 7 – Long-Term Grid Planning</t>
  </si>
  <si>
    <t>Manage connectivity and topology</t>
  </si>
  <si>
    <t>Use Case 11 – Distribution Connectivity Model &amp; Monitoring</t>
  </si>
  <si>
    <t>Monitor and validate connectivity model accuracy</t>
  </si>
  <si>
    <t>Continuously verify connectivity accuracy using AMI and GIS data feedback.</t>
  </si>
  <si>
    <t>Integrate connectivity model with outage and DER tools</t>
  </si>
  <si>
    <t>Provide real-time connectivity data to outage and DER planning applications for situational awareness.</t>
  </si>
  <si>
    <t>Perform controlled switching and restoration</t>
  </si>
  <si>
    <t>Execute validated switching commands</t>
  </si>
  <si>
    <t>Monitor and verify controlled restoration sequence</t>
  </si>
  <si>
    <t>Perform grid fault and incipient failure detection</t>
  </si>
  <si>
    <t>Detect incipient faults in distribution components</t>
  </si>
  <si>
    <t>Identify early failure indicators in transformers, capacitors, or cables using AMI power quality data.</t>
  </si>
  <si>
    <t>Use Case 15 – Fault &amp; Incipient Fault Identification on the Distribution System</t>
  </si>
  <si>
    <t>Correlate AMI data with other sensor inputs</t>
  </si>
  <si>
    <t>Integrate AMI-derived fault indicators with SCADA or IoT sensors for improved fault localization.</t>
  </si>
  <si>
    <t>Prioritize maintenance for at-risk assets</t>
  </si>
  <si>
    <t>Generate maintenance recommendations for assets showing early fault conditions.</t>
  </si>
  <si>
    <t>Use Case 15 – Fault &amp; Incipient Fault Identification on the Distribution System, Use Case 10 – Performance and Health of Distribution System Assets</t>
  </si>
  <si>
    <t>Perform event analysis and root-cause investigation</t>
  </si>
  <si>
    <t>Reconstruct outage and restoration sequences</t>
  </si>
  <si>
    <t>Analyze AMI, OMS, and SCADA data to reconstruct outage events and restoration timelines.</t>
  </si>
  <si>
    <t>Use Case 13 – Post Event Analysis</t>
  </si>
  <si>
    <t>Identify root causes of faults or outages</t>
  </si>
  <si>
    <t>Determine likely causes of outages or power quality events through data correlation and analytics.</t>
  </si>
  <si>
    <t>Document and close event investigations</t>
  </si>
  <si>
    <t>Record findings, corrective actions, and lessons learned from outage investigations.</t>
  </si>
  <si>
    <t>Manage remote disconnect and reconnect</t>
  </si>
  <si>
    <t>Perform remote disconnect / reconnect for move-out or move-in</t>
  </si>
  <si>
    <t>Execute and validate remote meter disconnect or reconnect commands in coordination with CIS and MDMS.</t>
  </si>
  <si>
    <t>Manage outage testing and diagnostics</t>
  </si>
  <si>
    <t>Ping meters for outage verification</t>
  </si>
  <si>
    <t>Simulate outage detection scenarios</t>
  </si>
  <si>
    <t>Test AMI outage detection algorithms using synthetic data to validate performance.</t>
  </si>
  <si>
    <t>Analyze false outage signals</t>
  </si>
  <si>
    <t>Investigate and resolve erroneous outage reports to improve algorithm accuracy.</t>
  </si>
  <si>
    <t>Meter Asset Management</t>
  </si>
  <si>
    <t>Procure and manage metering assets</t>
  </si>
  <si>
    <t>Forecast meter and network device demand</t>
  </si>
  <si>
    <t>Estimate meter and communication device needs based on deployment schedules, replacement rates, and growth forecasts.</t>
  </si>
  <si>
    <t>Issue meter and network device purchase orders</t>
  </si>
  <si>
    <t>Manage purchase orders and vendor coordination for approved metering and communication equipment.</t>
  </si>
  <si>
    <t>Receive and inspect delivered assets</t>
  </si>
  <si>
    <t>Receive, inspect, and validate meter and network device shipments for conformance with specifications.</t>
  </si>
  <si>
    <t>Register devices in asset and head-end systems</t>
  </si>
  <si>
    <t>Record unique device identifiers and link assets across asset management, CIS, and MDMS systems.</t>
  </si>
  <si>
    <t>Manage inventory and warehousing</t>
  </si>
  <si>
    <t>Track warehouse inventory and movements</t>
  </si>
  <si>
    <t>Maintain real-time visibility of meters and network devices through storage, staging, and field issue processes.</t>
  </si>
  <si>
    <t>Reconcile field inventory and system counts</t>
  </si>
  <si>
    <t>Validate consistency between warehouse, MIV, and field inventories.</t>
  </si>
  <si>
    <t>Manage returns and warranty</t>
  </si>
  <si>
    <t>Manage network device lifecycle</t>
  </si>
  <si>
    <t>Install and maintain network access points</t>
  </si>
  <si>
    <t>Coordinate installation, maintenance, and retirement of network access points or routers supporting AMI communications.</t>
  </si>
  <si>
    <t>Plan and schedule firmware upgrades</t>
  </si>
  <si>
    <t>Schedule and execute firmware updates to maintain meter and network device compliance and functionality.</t>
  </si>
  <si>
    <t>Validate firmware deployment success</t>
  </si>
  <si>
    <t>Verify successful firmware deployment and device connectivity following updates.</t>
  </si>
  <si>
    <t>Manage meter field operations</t>
  </si>
  <si>
    <t>Perform steady-state meter installation</t>
  </si>
  <si>
    <t>Execute meter installations as part of new service connections or replacements outside of mass deployment.</t>
  </si>
  <si>
    <t>Perform meter exchange and commissioning</t>
  </si>
  <si>
    <t>Replace and commission meters for maintenance, testing, or upgrade purposes ensuring communication and billing readiness.</t>
  </si>
  <si>
    <t>Perform meter removal and decommissioning</t>
  </si>
  <si>
    <t>Remove meters from service, ensure final reads, and update all related systems.</t>
  </si>
  <si>
    <t>Conduct meter investigations</t>
  </si>
  <si>
    <t>Dispatch field investigations for customer complaints, abnormal reads, or communication failures.</t>
  </si>
  <si>
    <t>Use Case 4 – Revenue Protection, Use Case 10 – Performance and Health of Distribution System Assets</t>
  </si>
  <si>
    <t>Manage remote connect/disconnect operations</t>
  </si>
  <si>
    <t>Perform remote disconnect for non-payment</t>
  </si>
  <si>
    <t>Execute remote disconnect commands for delinquent accounts following compliance and notification procedures.</t>
  </si>
  <si>
    <t>Perform remote reconnect after payment</t>
  </si>
  <si>
    <t>Validate payment, execute remote reconnect command, and verify service restoration.</t>
  </si>
  <si>
    <t>Perform remote disconnect / reconnect for move-in or move-out</t>
  </si>
  <si>
    <t>Execute remote meter operations for customer occupancy changes in coordination with CIS.</t>
  </si>
  <si>
    <t>Identify meters drawing load post-disconnect and flag for investigation.</t>
  </si>
  <si>
    <t>Manage meter operations commands</t>
  </si>
  <si>
    <t>Execute on-demand reads or pings</t>
  </si>
  <si>
    <t>Perform real-time meter read or ping commands to verify meter connectivity or resolve exceptions.</t>
  </si>
  <si>
    <t>Send test or diagnostic commands</t>
  </si>
  <si>
    <t>Send diagnostic commands to validate meter health or confirm firmware behavior.</t>
  </si>
  <si>
    <t>Track device reliability and communication performance</t>
  </si>
  <si>
    <t>Monitor meter reliability, communication stability, and recurring issue patterns.</t>
  </si>
  <si>
    <t>Data &amp; Analytics Platform Management</t>
  </si>
  <si>
    <t>Manage AMI data collection and validation</t>
  </si>
  <si>
    <t>Collect and validate usage, voltage, and event data from AMI head-end systems to ensure completeness and accuracy.</t>
  </si>
  <si>
    <t>Detect and correct missing or inconsistent AMI data to maintain billing and analytics integrity.</t>
  </si>
  <si>
    <t>Store validated data in MDMS and analytics repositories</t>
  </si>
  <si>
    <t>Persist cleansed and verified AMI data into MDMS and enterprise data platforms for consumption by downstream systems.</t>
  </si>
  <si>
    <t>Manage data integration and exchange</t>
  </si>
  <si>
    <t>Define and maintain data interfaces</t>
  </si>
  <si>
    <t>Define, document, and manage interfaces between head-end, MDMS, CIS, and analytics systems.</t>
  </si>
  <si>
    <t>For a business requirements design effort where the outputs will go to a system integrator to build the solution, what am I going to be documenting here?</t>
  </si>
  <si>
    <r>
      <t xml:space="preserve">This process defines which systems exchange data (e.g., HES, MDMS, CIS, DMS) and what business data objects and update cadence exist. In a BRD, you’re not detailing technical interface specs but describing </t>
    </r>
    <r>
      <rPr>
        <i/>
        <sz val="11"/>
        <color theme="1"/>
        <rFont val="Aptos Narrow"/>
        <family val="2"/>
        <scheme val="minor"/>
      </rPr>
      <t>data flow ownership and business rules</t>
    </r>
    <r>
      <rPr>
        <sz val="11"/>
        <color theme="1"/>
        <rFont val="Aptos Narrow"/>
        <family val="2"/>
        <scheme val="minor"/>
      </rPr>
      <t xml:space="preserve"> that govern those interfaces — e.g., how billing data, outage events, or tamper flags are consumed downstream.</t>
    </r>
  </si>
  <si>
    <t>It’s essential for traceability of integration logic and ownership boundaries. Provides business context for SI interface design without duplicating interface specs.</t>
  </si>
  <si>
    <t>Transform and normalize datasets</t>
  </si>
  <si>
    <t>Standardize and harmonize data formats across AMI, OMS, and analytics systems for consistency and interoperability.</t>
  </si>
  <si>
    <r>
      <t xml:space="preserve">You’ll define </t>
    </r>
    <r>
      <rPr>
        <i/>
        <sz val="11"/>
        <color theme="1"/>
        <rFont val="Aptos Narrow"/>
        <family val="2"/>
        <scheme val="minor"/>
      </rPr>
      <t>business transformation logic</t>
    </r>
    <r>
      <rPr>
        <sz val="11"/>
        <color theme="1"/>
        <rFont val="Aptos Narrow"/>
        <family val="2"/>
        <scheme val="minor"/>
      </rPr>
      <t xml:space="preserve"> — for example, converting interval data to billing-quality usage, aligning timestamps, applying loss factors, or normalizing field codes between systems. You won’t describe ETL mappings but will specify what data meaning must be preserved through transformation.</t>
    </r>
  </si>
  <si>
    <t>This defines how AMI data becomes usable for billing and analytics. Sits at the heart of MDMS functional logic and is critical to hand off to the SI.</t>
  </si>
  <si>
    <t>Monitor and reconcile ETL/ELT and API jobs</t>
  </si>
  <si>
    <t>Monitor scheduled and near-real-time data transfers and reconcile discrepancies across platforms.</t>
  </si>
  <si>
    <t>Why is this IT Release 1?  I would think we'd need to monitor transfers from the start and can't wait until IT release 2</t>
  </si>
  <si>
    <t>You’re right — data reconciliation and transfer monitoring must exist from day one. The SI will need to implement validation and logging in Release 1 when core integrations go live. Later releases might only enhance monitoring granularity.</t>
  </si>
  <si>
    <r>
      <t xml:space="preserve">Shift to </t>
    </r>
    <r>
      <rPr>
        <b/>
        <sz val="11"/>
        <color theme="1"/>
        <rFont val="Aptos Narrow"/>
        <family val="2"/>
        <scheme val="minor"/>
      </rPr>
      <t>IT Release 1 (retouched in Release 2)</t>
    </r>
    <r>
      <rPr>
        <sz val="11"/>
        <color theme="1"/>
        <rFont val="Aptos Narrow"/>
        <family val="2"/>
        <scheme val="minor"/>
      </rPr>
      <t xml:space="preserve"> to align with initial data flow readiness.</t>
    </r>
  </si>
  <si>
    <t>Manage data governance and quality</t>
  </si>
  <si>
    <t>Apply and monitor quality rules</t>
  </si>
  <si>
    <t>Enforce data quality standards and continuously monitor results through dashboards.</t>
  </si>
  <si>
    <t>If the MDMS or analytics platform applies data validation logic (e.g., completeness, duplication, gap detection), those rules are requirements. If this refers to enterprise DQ monitoring dashboards, it’s outside scope</t>
  </si>
  <si>
    <r>
      <t xml:space="preserve">Keep only if you’re specifying </t>
    </r>
    <r>
      <rPr>
        <i/>
        <sz val="11"/>
        <color theme="1"/>
        <rFont val="Aptos Narrow"/>
        <family val="2"/>
        <scheme val="minor"/>
      </rPr>
      <t>automated AMI data quality rules</t>
    </r>
    <r>
      <rPr>
        <sz val="11"/>
        <color theme="1"/>
        <rFont val="Aptos Narrow"/>
        <family val="2"/>
        <scheme val="minor"/>
      </rPr>
      <t xml:space="preserve"> within MDMS or data platform. Otherwise remove.</t>
    </r>
  </si>
  <si>
    <t>Resolve data quality exceptions and publish metrics</t>
  </si>
  <si>
    <t>Resolve exceptions and report AMI data quality metrics to business stakeholders.</t>
  </si>
  <si>
    <r>
      <t xml:space="preserve">You would capture </t>
    </r>
    <r>
      <rPr>
        <i/>
        <sz val="11"/>
        <color theme="1"/>
        <rFont val="Aptos Narrow"/>
        <family val="2"/>
        <scheme val="minor"/>
      </rPr>
      <t>how exceptions are remediated</t>
    </r>
    <r>
      <rPr>
        <sz val="11"/>
        <color theme="1"/>
        <rFont val="Aptos Narrow"/>
        <family val="2"/>
        <scheme val="minor"/>
      </rPr>
      <t xml:space="preserve"> — e.g., whether they trigger a re-ingest, require manual correction, or are excluded from billing. This is actionable logic the SI must configure in MDMS workflows.</t>
    </r>
  </si>
  <si>
    <t>Exception handling logic directly affects MDMS data accuracy and downstream billing, so it’s core BRD content.</t>
  </si>
  <si>
    <t>Manage data security and privacy</t>
  </si>
  <si>
    <t>Implement role-based access control and encryption</t>
  </si>
  <si>
    <t>Enforce access control and data encryption to secure AMI data at rest and in transit.</t>
  </si>
  <si>
    <t>Monitor access logs and regulatory compliance</t>
  </si>
  <si>
    <t>Continuously monitor user access and log activities to maintain compliance with CPUC and privacy policies.</t>
  </si>
  <si>
    <r>
      <t xml:space="preserve">The BRD should specify which </t>
    </r>
    <r>
      <rPr>
        <i/>
        <sz val="11"/>
        <color theme="1"/>
        <rFont val="Aptos Narrow"/>
        <family val="2"/>
        <scheme val="minor"/>
      </rPr>
      <t>user or system actions</t>
    </r>
    <r>
      <rPr>
        <sz val="11"/>
        <color theme="1"/>
        <rFont val="Aptos Narrow"/>
        <family val="2"/>
        <scheme val="minor"/>
      </rPr>
      <t xml:space="preserve"> require audit tracking (e.g., data exports, API usage, remote commands). You’re not defining log schemas, just identifying what needs to be monitored and reported.</t>
    </r>
  </si>
  <si>
    <t>It directly defines compliance features the SI must build or configure.</t>
  </si>
  <si>
    <t>Enforce retention and purge policies</t>
  </si>
  <si>
    <t>Apply retention schedules and securely purge data per policy and regulatory requirements.</t>
  </si>
  <si>
    <r>
      <t xml:space="preserve">You’ll define </t>
    </r>
    <r>
      <rPr>
        <i/>
        <sz val="11"/>
        <color theme="1"/>
        <rFont val="Aptos Narrow"/>
        <family val="2"/>
        <scheme val="minor"/>
      </rPr>
      <t>retention periods by data type</t>
    </r>
    <r>
      <rPr>
        <sz val="11"/>
        <color theme="1"/>
        <rFont val="Aptos Narrow"/>
        <family val="2"/>
        <scheme val="minor"/>
      </rPr>
      <t xml:space="preserve"> (e.g., billing data retained for 7 years, events for 2). The SI will implement purge and archival logic based on these business rules.</t>
    </r>
  </si>
  <si>
    <t>Retention policies are system-enforced and regulatory; need inclusion in BRD.</t>
  </si>
  <si>
    <t>Manage advanced analytics and AI</t>
  </si>
  <si>
    <t>Develop and train AI/ML models</t>
  </si>
  <si>
    <t>Build AI models for forecasting, fault detection, and load disaggregation using AMI and DER data.</t>
  </si>
  <si>
    <t>Use Case 7 – Long-Term Grid Planning, Use Case 10 – Performance and Health of Distribution System Assets</t>
  </si>
  <si>
    <t>Why did we decide to say this is IT Release 2? SCE says UC 7 and UC 10 could be 1 and 2</t>
  </si>
  <si>
    <t>UC 7 and UC 10 both have early-stage analytics in Release 1 (trend reporting), but AI/ML model development begins only after sufficient AMI data volume exists. Training requires historical data typically unavailable until mid-program.</t>
  </si>
  <si>
    <t>Keep as-is; AI enablement is realistically post-foundation (Release 2).</t>
  </si>
  <si>
    <t>Deploy and monitor analytical models for drift</t>
  </si>
  <si>
    <t>Deploy models to production, monitor for drift, and retrain as performance degrades.</t>
  </si>
  <si>
    <t>Use Case 7 – Long-Term Grid Planning, Use Case 13 – Post Event Analysis</t>
  </si>
  <si>
    <t>Maintain model registry and retraining pipeline</t>
  </si>
  <si>
    <t>Maintain an inventory of deployed models and automate retraining cycles.</t>
  </si>
  <si>
    <t>Manage edge and distributed intelligence</t>
  </si>
  <si>
    <t>Manage reporting and visualization</t>
  </si>
  <si>
    <t>Design and maintain AMI dashboards</t>
  </si>
  <si>
    <t>Create and maintain dashboards to visualize AMI performance, reliability, and customer insights.</t>
  </si>
  <si>
    <t>Use Case 13 – Post Event Analysis, Use Case 18 – Grid Ops: Situational Awareness</t>
  </si>
  <si>
    <t>Automate recurring reports and analytics</t>
  </si>
  <si>
    <t>Automate generation and distribution of recurring performance and compliance reports.</t>
  </si>
  <si>
    <t>Provide self-service analytics tools</t>
  </si>
  <si>
    <t>Enable authorized users to explore AMI data through governed self-service analytics platforms.</t>
  </si>
  <si>
    <t>Use Case 6 – 3rd Party Meter Data Access, Use Case 7 – Long-Term Grid Planning</t>
  </si>
  <si>
    <t>Manage enterprise data platform</t>
  </si>
  <si>
    <t>Monitor storage utilization and optimize performance</t>
  </si>
  <si>
    <t>Track and optimize data storage and retrieval performance across on-premise and cloud environments.</t>
  </si>
  <si>
    <r>
      <t xml:space="preserve">You’d capture </t>
    </r>
    <r>
      <rPr>
        <i/>
        <sz val="11"/>
        <color theme="1"/>
        <rFont val="Aptos Narrow"/>
        <family val="2"/>
        <scheme val="minor"/>
      </rPr>
      <t>business-driven performance expectations</t>
    </r>
    <r>
      <rPr>
        <sz val="11"/>
        <color theme="1"/>
        <rFont val="Aptos Narrow"/>
        <family val="2"/>
        <scheme val="minor"/>
      </rPr>
      <t xml:space="preserve"> — e.g., maximum data latency for analytics queries, or required availability metrics. Not the technical tuning methods.</t>
    </r>
  </si>
  <si>
    <t>Keep if SCE expects defined service levels (e.g., &lt;2-sec dashboard query); remove otherwise.</t>
  </si>
  <si>
    <t>Manage data archival and retrieval</t>
  </si>
  <si>
    <t>Archive aged AMI data for cost management while ensuring accessibility for audits or analytics.</t>
  </si>
  <si>
    <t>Coordinate AMI data integration with enterprise data lake</t>
  </si>
  <si>
    <t>Transfer validated AMI datasets to the enterprise data lake for use in analytics and data science.</t>
  </si>
  <si>
    <t>Manage interoperability and event correlation</t>
  </si>
  <si>
    <t>Capture and correlate operational events across AMI, OMS, and CIS</t>
  </si>
  <si>
    <t>Correlate operational events to identify cross-domain dependencies and performance insights.</t>
  </si>
  <si>
    <t>Use Case 13 – Post Event Analysis, Use Case 14 – AMI 2.0 Interoperability</t>
  </si>
  <si>
    <t>Analyze AMI event notifications</t>
  </si>
  <si>
    <t>Examine AMI-generated events (alarms, last-gasp, reconnects) to derive actionable insights.</t>
  </si>
  <si>
    <t>Use Case 13 – Post Event Analysis, Use Case 5 – Advanced Outage Identification and Location Awareness</t>
  </si>
  <si>
    <t>Identify cross-system anomalies</t>
  </si>
  <si>
    <t>Detect inconsistencies between AMI, OMS, and SCADA data to enhance reliability.</t>
  </si>
  <si>
    <t>Use Case 13 – Post Event Analysis, Use Case 15 – Fault &amp; Incipient Fault Identification on the Distribution System</t>
  </si>
  <si>
    <t>Manage regulatory and market data reporting</t>
  </si>
  <si>
    <t>Define and interpret regulatory reporting requirements</t>
  </si>
  <si>
    <t>Translate CPUC and CAISO requirements into structured AMI data reporting specifications.</t>
  </si>
  <si>
    <t>Extract, validate, and submit regulatory datasets</t>
  </si>
  <si>
    <t>Generate and submit AMI datasets to regulators and market participants.</t>
  </si>
  <si>
    <t>Track submissions and resolve exceptions</t>
  </si>
  <si>
    <t>Track report submissions and resolve rejections or data exceptions.</t>
  </si>
  <si>
    <t>Monitor and implement regulatory changes</t>
  </si>
  <si>
    <t>Track new or updated reporting requirements and adjust reporting logic accordingly.</t>
  </si>
  <si>
    <t>Manage third-party data exchange</t>
  </si>
  <si>
    <t>Authenticate and authorize third-party data requests</t>
  </si>
  <si>
    <t>Verify credentials and enforce access permissions for third-party data consumers.</t>
  </si>
  <si>
    <t>Transmit datasets securely to authorized third parties</t>
  </si>
  <si>
    <t>Transfer AMI datasets through secure API channels in compliance with privacy and cybersecurity standards.</t>
  </si>
  <si>
    <t>Track and log third-party API usage to ensure compliance and detect misuse.</t>
  </si>
  <si>
    <t>Row Labels</t>
  </si>
  <si>
    <t>Count of IT Release</t>
  </si>
  <si>
    <t>Grand Total</t>
  </si>
  <si>
    <t>First Pass</t>
  </si>
  <si>
    <t>Retouch</t>
  </si>
  <si>
    <t>Count of L3 Process Name</t>
  </si>
  <si>
    <t>Column Labels</t>
  </si>
  <si>
    <t>Track customer program participation</t>
  </si>
  <si>
    <t>Monitor enrollment and participation in demand or rate programs to support incentive management.</t>
  </si>
  <si>
    <t>Remove</t>
  </si>
  <si>
    <t>Measure customer engagement effectiveness</t>
  </si>
  <si>
    <t>Evaluate engagement metrics to assess adoption and satisfaction with AMI-enabled communications.</t>
  </si>
  <si>
    <t>Why is this one in IT release 2 versus "Provide personalized consumption insights" is in release 2?</t>
  </si>
  <si>
    <t>Define deployment waves and regional priorities</t>
  </si>
  <si>
    <t>Establish regional rollout plans and sequencing for AMI meter deployment to optimize logistics and customer readiness.</t>
  </si>
  <si>
    <t>Is this valuable to discuss as part of a busines requirements design effort where the outputs are going to the system integrator? I don't see how the outcome of this process impacts any system in scope</t>
  </si>
  <si>
    <t>Develop and validate installation schedules</t>
  </si>
  <si>
    <t>Create, validate, and maintain daily and weekly installation schedules integrating utility and contractor resources.</t>
  </si>
  <si>
    <t>Similar to the prior process, installation scheduling is operational. Unless the SI is building automated work-order integrations with the contractor’s scheduling system, there’s little BRD value.
Keep only if work management system integration (WMS–MDMS sync) is explicitly in scope. Otherwise remove as non-system-facing.</t>
  </si>
  <si>
    <t>Remove obsolete meters, update asset records, and validate final reads prior to disposal.</t>
  </si>
  <si>
    <t>Would this be captured as part of "perform meter exchange and re-commissioning" since an exchange includes a removal as the first step?</t>
  </si>
  <si>
    <t>Merge with “Perform meter exchange and commissioning.”
Consolidate under one process to streamline hierarchy and avoid duplicate documentation effort.</t>
  </si>
  <si>
    <t>Conduct field quality audits</t>
  </si>
  <si>
    <t>Verify installation quality and compliance with technical and safety standards through random inspections.</t>
  </si>
  <si>
    <t>Coordinate access requirements for installation</t>
  </si>
  <si>
    <t>Arrange site access with customers or property managers to minimize missed appointments.</t>
  </si>
  <si>
    <t>Manage field safety and compliance</t>
  </si>
  <si>
    <t>Monitor safety compliance</t>
  </si>
  <si>
    <t>Enforce field safety requirements and verify completion of required training and certifications.</t>
  </si>
  <si>
    <t>Record and review safety incidents</t>
  </si>
  <si>
    <t>Document and review safety incidents or near misses to identify preventive measures.</t>
  </si>
  <si>
    <t>Manage contractor and vendor coordination</t>
  </si>
  <si>
    <t>Onboard and train contractor teams</t>
  </si>
  <si>
    <t>Provide orientation, system access, and work standards training for new vendor crews.</t>
  </si>
  <si>
    <t>Define data ownership and stewardship roles</t>
  </si>
  <si>
    <t>Establish governance structure and ownership for AMI data domains and quality controls.</t>
  </si>
  <si>
    <t>It’s governance-level documentation, not part of SI scope. Include in program governance playbooks instead.</t>
  </si>
  <si>
    <t>Analyze installer and contractor performance</t>
  </si>
  <si>
    <t>Evaluate installer productivity, accuracy, and safety metrics for vendor oversight and continuous improvement.</t>
  </si>
  <si>
    <t>This would be IT Release 1 as its needed as they start mass meter deployment after IT release 1
Is this valuable to discuss as part of a busines requirements design effort where the outputs are going to the system integrator? I don't see how the outcome of this process impacts any system in scope</t>
  </si>
  <si>
    <t>Per Tim conversation</t>
  </si>
  <si>
    <t>Resolve field issues and escalate when needed</t>
  </si>
  <si>
    <t>Address and resolve deployment issues, escalating persistent or systemic problems for remediation.</t>
  </si>
  <si>
    <t>Track exception resolution metrics</t>
  </si>
  <si>
    <t>Measure and report on exception closure rates and recurring issue trends.</t>
  </si>
  <si>
    <t xml:space="preserve">This would be IT Release 1 as its needed as they start mass meter deployment after IT release 1
Is this separate from one above?  </t>
  </si>
  <si>
    <t>Monitor vendor compliance and KPIs</t>
  </si>
  <si>
    <t>Track contractor performance against established metrics for quality and timeliness.</t>
  </si>
  <si>
    <t>Conduct joint performance reviews and approve invoices</t>
  </si>
  <si>
    <t>Hold performance reviews and approve vendor invoices based on verified metrics.</t>
  </si>
  <si>
    <t>Process legacy meter reads</t>
  </si>
  <si>
    <t>Collect, validate, and integrate legacy meter reads during AMI transition to maintain billing continuity.</t>
  </si>
  <si>
    <t>Remove (assume this is not impacted)</t>
  </si>
  <si>
    <t>Implement corrective and preventive actions</t>
  </si>
  <si>
    <t>Address identified safety risks with updated procedures or retraining.</t>
  </si>
  <si>
    <t>Remove, do not foresee this having any system impacts</t>
  </si>
  <si>
    <t>Integrate deployment plan with work order and contractor systems</t>
  </si>
  <si>
    <t>Synchronize deployment plan with MIV and work management platforms for real-time visibility.</t>
  </si>
  <si>
    <t>Mass Meter Deployment</t>
  </si>
  <si>
    <t>Field Operations</t>
  </si>
  <si>
    <t>Remove network access points and decommission interfaces</t>
  </si>
  <si>
    <t>Remove obsolete or faulty network access points or routers and update network configuration.</t>
  </si>
  <si>
    <t>Procure meters and network devices</t>
  </si>
  <si>
    <t>Manage procurement of meters and network equipment from approved vendors.</t>
  </si>
  <si>
    <t>Manage returns, warranty, and refurbishment (network devices)</t>
  </si>
  <si>
    <t>Manage returns, warranty, and refurbishment (metering devices)</t>
  </si>
  <si>
    <t>Handle warranty returns, refurbishment cycles, and inventory reconciliation of defective or decommissioned network devices.</t>
  </si>
  <si>
    <t>Handle warranty returns, refurbishment cycles, and inventory reconciliation of defective or decommissioned metering devices.</t>
  </si>
  <si>
    <t>Oversee refurbishment or environmentally compliant disposal of obsolete meters devices removed by MIV.</t>
  </si>
  <si>
    <t>Ingest and validate interval and event data (HES)</t>
  </si>
  <si>
    <t>Resolve data gaps and anomalies (HES)</t>
  </si>
  <si>
    <t>Authenticate customer data requests (Green Button)</t>
  </si>
  <si>
    <t>Monitor API usage and maintain audit logs (Green Button)</t>
  </si>
  <si>
    <t>Monitor API usage and maintain audit logs (Third Party)</t>
  </si>
  <si>
    <t>Provide secure consumption data and reports (Green Button)</t>
  </si>
  <si>
    <t>Use Case 1 – Meter-to-Cash
Use Case 3 – Improve Customer Experience</t>
  </si>
  <si>
    <t>Use Case 3 – Improve Customer Experience
Use Case 5 – Advanced Outage Identification and Location Awareness</t>
  </si>
  <si>
    <t>Initiate manual or automated switching actions to balance loads or prevent overloads. Focuses on preventive or load-balancing switching—before a fault or outage occurs. Driven by feeder or transformer load monitoring.</t>
  </si>
  <si>
    <t>Perform operator-approved switching and restoration commands to safely restore service. Focuses on reactive switching to restore power after an outage or network event. Actions are operator-initiated and validated before execution.</t>
  </si>
  <si>
    <t>Validate staged restoration progress using AMI telemetry and update system status in OMS. Focuses on post-switching verification—ensuring restoration proceeded as planned and customers are re-energized safely. Uses AMI telemetry to confirm.</t>
  </si>
  <si>
    <t>Track registration of assets</t>
  </si>
  <si>
    <t>Perform commissioning and billing readiness checks</t>
  </si>
  <si>
    <t>Perform provisioning and connectivity validation</t>
  </si>
  <si>
    <t>Confirm that newly installed meters are correctly provisioned, communicating, and fully validated in the MDMS so they are ready to generate billable usage.</t>
  </si>
  <si>
    <t>Meter Operations &amp; Diagnostics</t>
  </si>
  <si>
    <t>Confirm restoration events by validating power status with AMI telemetry and update OMS and customer communication systems with authoritative restoration status.</t>
  </si>
  <si>
    <t>Perform targeted AMI pings to assess outage boundaries or diagnose partial restoration conditions without triggering formal OMS restoration updates.</t>
  </si>
  <si>
    <t>Resolve AMI billing data mismatches</t>
  </si>
  <si>
    <t>Investigate and correct discrepancies between AMI interval data, MDMS values, and CIS billing determinants to ensure accurate billing before finalization.</t>
  </si>
  <si>
    <t>Updated 11/21/2025</t>
  </si>
  <si>
    <t>Updated 11/7/2025</t>
  </si>
  <si>
    <t>Manage complex billing arrangements</t>
  </si>
  <si>
    <t>Manage Virtual Net Metering (VNM) Allocations</t>
  </si>
  <si>
    <t>Configure and maintain allocation percentages between generating accounts and benefiting accounts to ensure accurate credit distribution.</t>
  </si>
  <si>
    <t>Manage NEM Aggregation (NEM-A) Structures</t>
  </si>
  <si>
    <t>Establish and maintain the linkage between a principal generating account and multiple aggregated usage accounts for unified billing settlement.</t>
  </si>
  <si>
    <t>Resolve VEE Exceptions &amp; Complex Estimations</t>
  </si>
  <si>
    <t>Manually investigate and resolve interval data exceptions that fail automated VEE rules, applying human judgment or forced estimates.</t>
  </si>
  <si>
    <t>Manage wholesale settlement</t>
  </si>
  <si>
    <t>Aggregate and Transmit Wholesale Settlement Data</t>
  </si>
  <si>
    <t>Aggregating validated interval data by load profile and jurisdiction to submit to the ISO/RTO for wholesale market settlement.</t>
  </si>
  <si>
    <t>Manage Demand Response Event Settlement</t>
  </si>
  <si>
    <t>Calculate baseline usage (CBL) and performance metrics for DR events to determine financial settlement/credits distinct from standard billing.</t>
  </si>
  <si>
    <t>Manage EV Panel Capacity Limits</t>
  </si>
  <si>
    <t>Configure panel capacity thresholds and safe-loading limits in the back-office system to enable "Panel Upgrade Avoidance" logic at the edge.</t>
  </si>
  <si>
    <t>Detect and manage safety hazards</t>
  </si>
  <si>
    <t>Detect and Respond to Hot Socket Alarms</t>
  </si>
  <si>
    <t>Monitor real-time temperature alarms from meters, validate "Hot Socket" conditions, and trigger immediate safety disconnects or field dispatches.</t>
  </si>
  <si>
    <t>Identify and Resolve Neutral Connection Issues</t>
  </si>
  <si>
    <t>Analyze voltage and impedance data to detect "Loose Neutral" conditions and prioritize field investigation to prevent equipment damage.</t>
  </si>
  <si>
    <t>Request and analyze high-resolution waveform captures (pre/post event) to determine the specific electrical signature of complex faults.</t>
  </si>
  <si>
    <t>Detect Unapproved DER Interconnection</t>
  </si>
  <si>
    <t>Compare detected generation signatures against known interconnection records to identify unauthorized solar or storage back-feeding.</t>
  </si>
  <si>
    <t>Manage meter quality and compliance</t>
  </si>
  <si>
    <t>Manage Device Security Certificates Lifecycle</t>
  </si>
  <si>
    <t>Track the expiration and renewal of device security certificates (LDevID) to ensure no asset becomes orphaned due to credential expiry.</t>
  </si>
  <si>
    <t>Calculate Unaccounted for Energy (UFE)</t>
  </si>
  <si>
    <t>Compare total substation/feeder energy inputs against aggregated meter consumption to identify system losses or measurement errors.</t>
  </si>
  <si>
    <t>Maintain Operational Device Segments &amp; Groups</t>
  </si>
  <si>
    <t>Define and maintain the business logic for meter groups (e.g., "Fire Risk Zones," "EV Users") used to target firmware, configurations, and commands.</t>
  </si>
  <si>
    <t>UC 14: AMI 2.0 Interoperability
UC 3: Improve Customer Experience</t>
  </si>
  <si>
    <t>UC 14: AMI 2.0 Interoperability
UC 4: Revenue Protection</t>
  </si>
  <si>
    <t>UC 8: Anomaly &amp; Fault Detection BTM
UC 4: Revenue Protection</t>
  </si>
  <si>
    <t>UC 8: Anomaly &amp; Fault Detection BTM
UC 10: Performance &amp; Health of Dist. System</t>
  </si>
  <si>
    <t>UC 8: Anomaly &amp; Fault Detection BTM
UC 5: Advanced Outage Identification</t>
  </si>
  <si>
    <t>UC 3: Improve Customer Experience
UC 7: Long-Term Grid Planning</t>
  </si>
  <si>
    <t>Use Case 1 – Meter-to-Cash
UC 2: Optimizing Energy Savings
UC 7: Long-Term Grid Planning</t>
  </si>
  <si>
    <t>Analyze waveform signatures</t>
  </si>
  <si>
    <t>Use Case 3- Improve Customer Experience</t>
  </si>
  <si>
    <t>IT Release 1 (retouched in IT Release 2 and 3)</t>
  </si>
  <si>
    <t>Handle CIS-to-MIV file and interface exceptions</t>
  </si>
  <si>
    <t>Manage device OS firmware and configuration</t>
  </si>
  <si>
    <t>Configure Distributed Intelligence (DI) Application Logic</t>
  </si>
  <si>
    <t>Monitor Edge Application Runtime Performance</t>
  </si>
  <si>
    <t>Manage Edge AI Model &amp; App Lifecycle</t>
  </si>
  <si>
    <t>Define and tune business parameters for edge applications (e.g., EV detection sensitivity, waveform capture triggers) to align with grid operation goals.</t>
  </si>
  <si>
    <t>Monitor the operational health, resource consumption (CPU/Memory), and data latency of specific edge applications to ensure they are running effectively on the meter.</t>
  </si>
  <si>
    <t>Coordinate the versioning, testing, and deployment of updated AI models and application binaries (e.g., new appliance signatures) independent of base meter firmware.</t>
  </si>
  <si>
    <t>Meter Data Operations</t>
  </si>
  <si>
    <t>Monitor environmental conditions</t>
  </si>
  <si>
    <t>Monitor Environmental Sensor Telemetry</t>
  </si>
  <si>
    <t>Collect and monitor non-electrical telemetry (e.g., ambient temperature, seismic activity, air quality) from capable AMI devices to support grid planning and public safety initiatives.</t>
  </si>
  <si>
    <t>Use Case 9 – Environmental Monitoring</t>
  </si>
  <si>
    <t>Retouch Rationale</t>
  </si>
  <si>
    <t>Similar to above, resolving gaps in billing data (R1) is mandatory for revenue; resolving gaps in Grid data (R2) follows different business rules (e.g., interpolating voltage for planning vs. estimating usage for billing).</t>
  </si>
  <si>
    <t>In Release 1, validation rules focus on 15/60-minute kWh data for billing completeness. In Release 2, the scope expands to high-frequency Grid Management data (Voltage, Power Quality), which requires different validation logic (e.g., voltage limits vs. usage limits) not present in R1.</t>
  </si>
  <si>
    <t>Release 1 VEE applies to Billing Determinants (Revenue). Release 2 introduces VEE for non-billing channels (e.g., Transformer Loading profiles), requiring a retouch to configure estimation rules for operational data.</t>
  </si>
  <si>
    <t>The human workflow changes in Release 2. Analysts must now adjudicate data exceptions that impact Grid Operations (e.g., "Is this voltage sag real?") rather than just billing accuracy.</t>
  </si>
  <si>
    <t>Release 1 relies on deterministic flags (e.g., Reverse Rotation). Release 2 (with Permanent DI Hub/Analytics) introduces AI/ML-driven detection, requiring a retouch of the detection logic and investigation workflow.</t>
  </si>
  <si>
    <t>As confirmed, Release 1 is foundational/deterministic. Release 2 deploys the full Analytics Platform, necessitating a process retouch to incorporate AI/ML insights and advanced theft pattern recognition.</t>
  </si>
  <si>
    <t>Release 2 introduces the Analytics Platform (required for disaggregation). Release 3 retouches this to include "Actionable Insights" derived from BTM control and load management programs.</t>
  </si>
  <si>
    <t>In Release 1 (DI Hub Light), provisioning is likely basic (Meter + Comms). In Release 2 (Permanent DI Hub), the commissioning process must be retouched to include the verification of Edge Applications during the install (e.g., "Did the EV app download successfully?")</t>
  </si>
  <si>
    <t>Same logic as commissioning. Replacing a meter in Release 2 requires ensuring the new asset is provisioned on the Permanent DI Hub, which is a different backend step than Release 1.</t>
  </si>
  <si>
    <t>Release 2 establishes standard restoration verification. Release 3 introduces "Controlled Switching/Restoration," which requires a more complex, staged verification workflow involving BTM loads.</t>
  </si>
  <si>
    <t>Release 2 covers standard outage comms. Release 3 retouches this to include notifications related to "Customer-driven load management" (e.g., specific load shedding events).</t>
  </si>
  <si>
    <t>Release 1 provides basic aggregation for visibility. Release 2 (Analytics) adds predictive health scoring and thermal analysis, requiring a process update.</t>
  </si>
  <si>
    <t>Release 1 is monitoring/reporting. Release 2 retouches this to include closed-loop control (Triggering regulator adjustments) via the enhanced grid management systems.</t>
  </si>
  <si>
    <t>Release 1 uses basic alarms. Release 2 applies advanced analytics (impedance monitoring) to filter false positives, changing the "Respond" workflow.</t>
  </si>
  <si>
    <t>Release 1 tracks basic comms rates (Read Success). Release 2 retouches this to track Edge Compute Health (CPU/RAM usage on the meter), which is required for the Permanent DI Hub.</t>
  </si>
  <si>
    <t>The migration from DI Hub Light (R1.2) to Permanent DI Hub (R2) necessitates a complete redesign of how apps are configured, deployed, and managed.</t>
  </si>
  <si>
    <t>The data payload expands significantly. Release 1 = Billing Data. Release 2 = PQ/Waveforms. Release 3 = BTM/Control Data. The integration process must be retouched to handle these new schemas.</t>
  </si>
  <si>
    <t>Release 1 handles basic alarms. Release 3 (Post Event Analysis) requires correlating these events with SCADA/OMS data for complex root cause analysis.</t>
  </si>
  <si>
    <t>Release 1 secures the utility data. Release 3 opens up 3rd Party Access (Green Button) and Control Commands, requiring a retouch to implement finer-grained, role-based security and external authentication.</t>
  </si>
  <si>
    <r>
      <t xml:space="preserve">Release 1 simulations are static comparisons of rate plans. Release 3 introduces "Customer-driven load management" (BTM Control), requiring the simulation engine to account for </t>
    </r>
    <r>
      <rPr>
        <i/>
        <sz val="11"/>
        <color theme="1"/>
        <rFont val="Aptos Narrow"/>
        <family val="2"/>
        <scheme val="minor"/>
      </rPr>
      <t>dynamic</t>
    </r>
    <r>
      <rPr>
        <sz val="11"/>
        <color theme="1"/>
        <rFont val="Aptos Narrow"/>
        <family val="2"/>
        <scheme val="minor"/>
      </rPr>
      <t xml:space="preserve"> utility interventions and demand response events.</t>
    </r>
  </si>
  <si>
    <t>I n Release 2, the system enables Grid Management analytics. The process here is likely "Open Loop"—the system analyzes the data and recommends an adjustment to an operator. Release 3 (Control/BTM): Release 3 focuses on "Customer-driven load management" and "Behind-the-Meter control." The process must be retouched to account for Closed Loop automation (where the system acts automatically) and to integrate the impact of Distributed Energy Resources (DERs) into the regulation logic.</t>
  </si>
  <si>
    <t>Release 2 (Discovery): This release establishes the "Improved network topology model" using AMI data to find static errors (e.g., "Meter A is actually on Phase B"). Release 3 (Forensic Feedback): Release 3 enables Use Case 13 (Post Event Analysis). The process must be retouched to create a feedback loop where Outage Root Cause Analysis is used to permanently validate and correct the connectivity model (e.g., "We confirmed the phase during the outage restoration, now update the model").</t>
  </si>
  <si>
    <t>Release 2 (Detection): The "Permanent DI Hub" and analytics deployed in Release 2 provide the capability to detect the signatures of failing equipment (e.g., a dying transformer). Release 3 (Tuning): To support Use Case 13 (Post Event Analysis), the detection algorithms must be retouched to incorporate "Ground Truth" data from actual failures. The process shifts from "Detecting" to "Tuning the Model based on Forensic Evidence."</t>
  </si>
  <si>
    <t>Release 2 (Operational): Prioritization is based on the immediate health scores generated by the Release 2 analytics. Release 3 (Strategic): Release 3 enables Use Case 7 (Long-Term Grid Planning). The prioritization process must be retouched to align asset health data with long-term capital planning and load forecasting models, moving from "Fix it now" to "Plan the replacement."</t>
  </si>
  <si>
    <t>Release 2 (Real-time/Safety): Waveforms are used here primarily for Use Case 10 (Performance &amp; Health) and Safety (e.g., detecting a live wire). The analysis is focused on immediate operational status. Release 3 (Forensic): This enables Use Case 13 (Post Event Analysis). The process changes fundamentally from "Real-time assessment" to "Retrospective Forensic Analysis" to determine why a fault occurred, often requiring deeper, offline analysis of the same waveform data.</t>
  </si>
  <si>
    <t>Release 1 (DI Hub Light): You are managing groups on a "Light" platform, likely limited to basic firmware or billing groups. Release 2 (Permanent DI Hub): The entire underlying platform changes to the "Permanent DI Hub." The process of creating and managing groups must be redesigned (retouched) to accommodate the complex, dynamic grouping logic required for the new Edge Apps (e.g., grouping by "Solar Inverter Type" or "Transformer Loading Zone").</t>
  </si>
  <si>
    <t>N/A</t>
  </si>
  <si>
    <t>Foundational – Not Directly Mapped to SCE Use Case</t>
  </si>
  <si>
    <t>Use Case 1 – Meter-to-Cash
Use Case 10 – Performance and Health of Distribution System Assets</t>
  </si>
  <si>
    <t>Duplicative of "Register devices in asset and head-end systems"</t>
  </si>
  <si>
    <t>Record customer opt-out requests prior to installation and update MIV deployment schedules to exclude the premise from mass installation.</t>
  </si>
  <si>
    <t>Process opt-out requests for existing AMI customers and trigger field work orders to exchange the smart meter for a non-communicating device.</t>
  </si>
  <si>
    <t>Manage Pre-Deployment Opt-Out Exclusions</t>
  </si>
  <si>
    <t>Manage Post-Deployment Opt-Out &amp; Exchange</t>
  </si>
  <si>
    <t>Establish Meter-to-Transformer Topology</t>
  </si>
  <si>
    <t>Analyze meter voltage correlation data to determine the parent-child physical link between meters and service transformers.</t>
  </si>
  <si>
    <t>Detect and Reconcile Phase Assignment Errors</t>
  </si>
  <si>
    <t>Analyze voltage angle data or signal injection results to identify and correct mislabeled electrical phases (A/B/C) in the GIS model.</t>
  </si>
  <si>
    <t>Detect Unassigned Interval Usage</t>
  </si>
  <si>
    <t>Identify and flag meters recording usage during periods where the premise status is "Inactive" or "Disconnected" in the CIS (e.g., Squatters or clerical errors).</t>
  </si>
  <si>
    <t>Detect Meter Tampering &amp; Energy Diversion</t>
  </si>
  <si>
    <t>Analyze meter alarms, magnetic sensors, and usage patterns to identify physical tampering, bypass mechanisms, or energy diversion.</t>
  </si>
  <si>
    <t>Manage refurbishment and end-of-life disposal (MIV)</t>
  </si>
  <si>
    <t>Release 1 simulations are static comparisons of rate plans. Release 3 introduces "Customer-driven load management" (BTM Control), requiring the simulation engine to account for dynamic utility interventions and demand response events.</t>
  </si>
  <si>
    <t>Assign and execute MIV meteer deployment work orders</t>
  </si>
  <si>
    <t>Assign and execute utility-owned deployment work orders</t>
  </si>
  <si>
    <t>Dispatch and complete meter installation work orders via utility systems, updating all related records.</t>
  </si>
  <si>
    <t>Perform meter exchange</t>
  </si>
  <si>
    <t>Replace AMI 2.0 meter for maintenance, testing, or upgrade purposes.</t>
  </si>
  <si>
    <t>Persist cleansed and verified AMI data into MDMS for consumption by downstream systems.</t>
  </si>
  <si>
    <t>Calculate and validate register-based bills</t>
  </si>
  <si>
    <t>Execute CIS billing logic for interval-based rates, utilizing summed intervals or time-series calculations to determine billable usage.</t>
  </si>
  <si>
    <t>Execute CIS billing logic for scalar rates, utilizing start and stop register reads to determine billable usage.</t>
  </si>
  <si>
    <t>Use Case 13 – Post Event Analysis
Use Case 5 – Advanced Outage Identification and Location Awareness</t>
  </si>
  <si>
    <t>Release 2 (Discovery): Establishes the topology model. Release 3 (Forensic Feedback): Adds feedback loop where Outage Root Cause Analysis permanently validates/updates the model.</t>
  </si>
  <si>
    <t>Release 1 provides basic aggregation for visibility. Release 2 (Analytics) adds predictive health scoring and thermal analysis.</t>
  </si>
  <si>
    <t>Initiate manual or automated switching actions to balance loads or prevent overloads. Focuses on preventive or load-balancing switching.</t>
  </si>
  <si>
    <t>Release 1 is monitoring/reporting. Release 2 retouches this to include closed-loop control (Triggering regulator adjustments).</t>
  </si>
  <si>
    <t>Release 1 is monitoring/reporting. Release 2 retouches this to include closed-loop control.</t>
  </si>
  <si>
    <t>Release 2 is Open Loop (Advisory). Release 3 adds Closed Loop automation and integrates DER impact into regulation logic.</t>
  </si>
  <si>
    <t>Release 2 (Detection) uses Permanent DI Hub analytics. Release 3 (Tuning) incorporates "Ground Truth" feedback from actual failures to tune detection models.</t>
  </si>
  <si>
    <t>Release 2 is Operational (immediate health scores). Release 3 is Strategic (aligning asset health with long-term capital planning).</t>
  </si>
  <si>
    <t>Release 1 uses basic alarms. Release 2 applies advanced analytics (impedance monitoring) to filter false positives.</t>
  </si>
  <si>
    <t>Release 2 establishes standard restoration verification. Release 3 introduces "Controlled Switching/Restoration" requiring staged verification.</t>
  </si>
  <si>
    <t>Release 2 covers standard outage comms. Release 3 includes notifications related to specific customer-driven load shedding events.</t>
  </si>
  <si>
    <t>Perform operator-approved switching and restoration commands to safely restore service. Focuses on reactive switching to restore power after an outage or network event.</t>
  </si>
  <si>
    <t>Validate staged restoration progress using AMI telemetry and update system status in OMS. Focuses on post-switching verification.</t>
  </si>
  <si>
    <t>Release 2 focuses on Real-time Safety/Ops. Release 3 focuses on Retrospective Forensic Analysis to determine root cause.</t>
  </si>
  <si>
    <t>UC 10: Performance &amp; Health of Dist. System
UC 13: Post Event Analysis</t>
  </si>
  <si>
    <t>Use Case 3 – Improve Customer Experience
Use Case 7 – Long-Term Grid Planning</t>
  </si>
  <si>
    <t>Use Case 3 – Improve Customer Experience
Use Case 5 – Advanced Outage Identification</t>
  </si>
  <si>
    <t>Use Case 1 – Meter-to-Cash
Use Case 2 – Optimizing Energy Savings
Use Case 7 – Long-Term Grid Planning</t>
  </si>
  <si>
    <t>Use Case 4 – Revenue Protection
Use Case 10 – Performance and Health of Distribution System Assets</t>
  </si>
  <si>
    <t>Use Case 8 – Anomaly &amp; Fault Detection BTM
Use Case 4 – Revenue Protection</t>
  </si>
  <si>
    <t>Use Case 15 – Fault &amp; Incipient Fault Identification
Use Case 10 – Performance and Health</t>
  </si>
  <si>
    <t>Use Case 8 – Anomaly &amp; Fault Detection BTM
Use Case 5 – Advanced Outage Identification</t>
  </si>
  <si>
    <t>Use Case 8 – Anomaly &amp; Fault Detection BTM
Use Case 10 – Performance &amp; Health of Dist. System</t>
  </si>
  <si>
    <t>Use Case 10 – Performance &amp; Health of Dist. System
Use Case 13 – Post Event Analysis</t>
  </si>
  <si>
    <t>Use Case 14 – AMI 2.0 Interoperability
Use Case 3 – Improve Customer Experience</t>
  </si>
  <si>
    <t>Use Case 13 – Post Event Analysis
Use Case 14 – AMI 2.0 Interoperability</t>
  </si>
  <si>
    <t>Use Case 13 – Post Event Analysis
Use Case 18 – Grid Ops: Situational Awareness</t>
  </si>
  <si>
    <t>Use Case 13 – Post Event Analysis
Use Case 15 – Fault &amp; Incipient Fault Identification on the Distribution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</si>
</sst>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0" fontId="4" fillId="0" borderId="1" xfId="0" applyFont="1" applyBorder="1" applyAlignment="1">
      <alignment horizontal="left" vertical="center" wrapText="1" indent="1" readingOrder="1"/>
    </xf>
    <xf numFmtId="0" fontId="3" fillId="0" borderId="1" xfId="0" applyFont="1" applyBorder="1" applyAlignment="1">
      <alignment vertical="center" wrapText="1" readingOrder="1"/>
    </xf>
  </cellXfs>
  <cellStyles count="1">
    <cellStyle name="Normal" xfId="0" builtinId="0"/>
  </cellStyles>
  <dxfs count="2">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ony Calabro" id="{E164CD4D-F60A-4122-8809-9E91BD6DDA59}" userId="S::Tony.Calabro@ey.com::1559027e-7fee-4795-b2ff-4998584920b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y Calabro" refreshedDate="45965.513697106479" createdVersion="8" refreshedVersion="8" minRefreshableVersion="3" recordCount="125" xr:uid="{73DE2A0D-35A5-40C6-BA38-EADBD7CF1984}">
  <cacheSource type="worksheet">
    <worksheetSource ref="A31:H31" sheet="Process Hier (ARCHIVE)"/>
  </cacheSource>
  <cacheFields count="7">
    <cacheField name="L1 Process Name" numFmtId="0">
      <sharedItems/>
    </cacheField>
    <cacheField name="L2 Process Name" numFmtId="0">
      <sharedItems/>
    </cacheField>
    <cacheField name="L3 Process Name" numFmtId="0">
      <sharedItems/>
    </cacheField>
    <cacheField name="L3 Process Objective" numFmtId="0">
      <sharedItems/>
    </cacheField>
    <cacheField name="Use Case Mapping" numFmtId="0">
      <sharedItems/>
    </cacheField>
    <cacheField name="IT Release" numFmtId="0">
      <sharedItems count="7">
        <s v="IT Release 1"/>
        <s v="IT Release 1 (retouched in IT Release 2)"/>
        <s v="IT Release 1 (retouched in IT Release 3)"/>
        <s v="IT Release 2"/>
        <s v="IT Release 2 (retouched in IT Release 3)"/>
        <s v="IT Release 3"/>
        <s v="IT Release 1 "/>
      </sharedItems>
    </cacheField>
    <cacheField name="BRD Size" numFmtId="0">
      <sharedItems count="3">
        <s v="Medium"/>
        <s v="Small"/>
        <s v="Larg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y Calabro" refreshedDate="45982.477648958331" createdVersion="8" refreshedVersion="8" minRefreshableVersion="3" recordCount="116" xr:uid="{A57F8C71-837A-467E-8519-35D9DD6099FC}">
  <cacheSource type="worksheet">
    <worksheetSource ref="A2:H2" sheet="Process Hier (ARCHIVE)"/>
  </cacheSource>
  <cacheFields count="8">
    <cacheField name="L1 Process Name" numFmtId="0">
      <sharedItems/>
    </cacheField>
    <cacheField name="L2 Process Name" numFmtId="0">
      <sharedItems/>
    </cacheField>
    <cacheField name="L3 Process Name" numFmtId="0">
      <sharedItems/>
    </cacheField>
    <cacheField name="L3 Process Objective" numFmtId="0">
      <sharedItems/>
    </cacheField>
    <cacheField name="Use Case Mapping" numFmtId="0">
      <sharedItems/>
    </cacheField>
    <cacheField name="IT Release" numFmtId="0">
      <sharedItems count="8">
        <s v="IT Release 1"/>
        <s v="IT Release 2"/>
        <s v="IT Release 1 (retouched in IT Release 2)"/>
        <s v="IT Release 1 (retouched in IT Release 3)"/>
        <s v="IT Release 3"/>
        <s v="IT Release 2 (retouched in IT Release 3)"/>
        <s v="IT Release 1 "/>
        <s v="IT Release 1 (retouched in IT Release 2 and 3)"/>
      </sharedItems>
    </cacheField>
    <cacheField name="Retouch Rationale" numFmtId="0">
      <sharedItems longText="1"/>
    </cacheField>
    <cacheField name="BRD Size" numFmtId="0">
      <sharedItems containsBlank="1" count="4">
        <s v="Small"/>
        <s v="Medium"/>
        <s v="Large"/>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Customer Engagement &amp; Billing"/>
    <s v="Manage meter-to-cash operations"/>
    <s v="Calculate and validate interval-based bills"/>
    <s v="Calculate accurate customer bills using interval data and rate logic, ensuring alignment with AMI 2.0 data granularity and billing rules."/>
    <s v="Use Case 1 – Meter-to-Cash"/>
    <x v="0"/>
    <x v="0"/>
  </r>
  <r>
    <s v="Customer Engagement &amp; Billing"/>
    <s v="Manage meter-to-cash operations"/>
    <s v="Manage billing exceptions and rebills"/>
    <s v="Identify, investigate, and resolve billing errors or anomalies to maintain billing accuracy and customer trust."/>
    <s v="Use Case 1 – Meter-to-Cash"/>
    <x v="1"/>
    <x v="0"/>
  </r>
  <r>
    <s v="Customer Engagement &amp; Billing"/>
    <s v="Manage meter-to-cash operations"/>
    <s v="Generate and distribute bill print and e-bills"/>
    <s v="Produce and issue customer bills through print and electronic delivery channels, ensuring timely distribution and compliance."/>
    <s v="Use Case 1 – Meter-to-Cash"/>
    <x v="0"/>
    <x v="1"/>
  </r>
  <r>
    <s v="Customer Engagement &amp; Billing"/>
    <s v="Manage meter-to-cash operations"/>
    <s v="Cancel and rebill"/>
    <s v="Correct previously issued bills due to meter, data, or rate errors and reissue accurate versions."/>
    <s v="Use Case 1 – Meter-to-Cash"/>
    <x v="0"/>
    <x v="1"/>
  </r>
  <r>
    <s v="Customer Engagement &amp; Billing"/>
    <s v="Manage meter-to-cash operations"/>
    <s v="Validate and estimate missing data (VEE)"/>
    <s v="Validate, estimate, or edit interval data where gaps or anomalies exist to ensure complete and accurate billing determinants."/>
    <s v="Use Case 1 – Meter-to-Cash"/>
    <x v="1"/>
    <x v="0"/>
  </r>
  <r>
    <s v="Customer Engagement &amp; Billing"/>
    <s v="Manage rate optimization and program enrollment"/>
    <s v="Model and recommend personalized rate plans"/>
    <s v="Analyze usage and behavioral data to recommend optimal rate structures or incentives for customers."/>
    <s v="Use Case 2 – Optimizing Energy Savings with Personalized Incentives"/>
    <x v="0"/>
    <x v="0"/>
  </r>
  <r>
    <s v="Customer Engagement &amp; Billing"/>
    <s v="Manage rate optimization and program enrollment"/>
    <s v="Simulate customer bill impacts"/>
    <s v="Estimate and communicate bill impacts of rate plan changes or program participation."/>
    <s v="Use Case 2 – Optimizing Energy Savings with Personalized Incentives"/>
    <x v="2"/>
    <x v="0"/>
  </r>
  <r>
    <s v="Customer Engagement &amp; Billing"/>
    <s v="Manage rate optimization and program enrollment"/>
    <s v="Deploy approved rate plans"/>
    <s v="Configure and deploy approved rate plans into CIS and billing systems."/>
    <s v="Use Case 2 – Optimizing Energy Savings with Personalized Incentives"/>
    <x v="3"/>
    <x v="1"/>
  </r>
  <r>
    <s v="Customer Engagement &amp; Billing"/>
    <s v="Manage revenue protection"/>
    <s v="Detect and flag potential theft or tampering"/>
    <s v="Analyze meter and consumption data to identify signs of tampering, diversion, or unauthorized usage."/>
    <s v="Use Case 4 – Revenue Protection"/>
    <x v="1"/>
    <x v="0"/>
  </r>
  <r>
    <s v="Customer Engagement &amp; Billing"/>
    <s v="Manage revenue protection"/>
    <s v="Investigate and resolve revenue loss cases"/>
    <s v="Conduct data-driven and field investigations to confirm theft or loss and take corrective action."/>
    <s v="Use Case 4 – Revenue Protection"/>
    <x v="1"/>
    <x v="0"/>
  </r>
  <r>
    <s v="Customer Engagement &amp; Billing"/>
    <s v="Manage revenue protection"/>
    <s v="Report revenue protection KPIs and trends"/>
    <s v="Track and report performance of theft detection and revenue recovery programs."/>
    <s v="Use Case 4 – Revenue Protection"/>
    <x v="1"/>
    <x v="1"/>
  </r>
  <r>
    <s v="Customer Engagement &amp; Billing"/>
    <s v="Manage customer communications and experience"/>
    <s v="Deliver proactive outage and restoration notifications"/>
    <s v="Provide automated outage, restoration, and usage alerts to customers based on AMI and OMS data."/>
    <s v="Use Case 3 – Improve Customer Experience, Use Case 5 – Advanced Outage Identification and Location Awareness"/>
    <x v="4"/>
    <x v="0"/>
  </r>
  <r>
    <s v="Customer Engagement &amp; Billing"/>
    <s v="Manage customer communications and experience"/>
    <s v="Provide personalized consumption insights"/>
    <s v="Deliver disaggregated energy insights and usage summaries to customers through digital channels."/>
    <s v="Use Case 3 – Improve Customer Experience"/>
    <x v="4"/>
    <x v="0"/>
  </r>
  <r>
    <s v="Customer Engagement &amp; Billing"/>
    <s v="Manage customer communications and experience"/>
    <s v="Manage customer notification preferences"/>
    <s v="Maintain customer preferences for notification type, channel, and frequency across AMI programs."/>
    <s v="Use Case 3 – Improve Customer Experience"/>
    <x v="4"/>
    <x v="1"/>
  </r>
  <r>
    <s v="Customer Engagement &amp; Billing"/>
    <s v="Manage customer data access and transparency"/>
    <s v="Authenticate customer and third-party data requests"/>
    <s v="Verify credentials and authorization for customers and approved third parties requesting usage or generation data."/>
    <s v="Use Case 6 – 3rd Party Meter Data Access"/>
    <x v="5"/>
    <x v="0"/>
  </r>
  <r>
    <s v="Customer Engagement &amp; Billing"/>
    <s v="Manage customer data access and transparency"/>
    <s v="Provide secure consumption data and reports"/>
    <s v="Generate and deliver usage and generation reports through secure channels or APIs."/>
    <s v="Use Case 6 – 3rd Party Meter Data Access"/>
    <x v="5"/>
    <x v="0"/>
  </r>
  <r>
    <s v="Customer Engagement &amp; Billing"/>
    <s v="Manage opt-out and customer choice programs"/>
    <s v="Manage opt-out enrollment (pre-AMI deployment)"/>
    <s v="Record and manage customer opt-out decisions before meter deployment to ensure accurate scheduling and device configuration."/>
    <s v="Foundational – Not Mapped to SCE Use Case"/>
    <x v="0"/>
    <x v="1"/>
  </r>
  <r>
    <s v="Customer Engagement &amp; Billing"/>
    <s v="Manage opt-out and customer choice programs"/>
    <s v="Manage opt-out enrollment (post-AMI deployment)"/>
    <s v="Handle opt-out or re-enrollment requests after deployment, updating communication and billing settings accordingly."/>
    <s v="Foundational – Not Mapped to SCE Use Case"/>
    <x v="6"/>
    <x v="1"/>
  </r>
  <r>
    <s v="Customer Engagement &amp; Billing"/>
    <s v="Manage opt-out and customer choice programs"/>
    <s v="Disable AMI communications for opt-out customers"/>
    <s v="Remotely disable meter communications for customers who have opted out."/>
    <s v="Foundational – Not Mapped to SCE Use Case"/>
    <x v="0"/>
    <x v="0"/>
  </r>
  <r>
    <s v="Customer Engagement &amp; Billing"/>
    <s v="Manage opt-out and customer choice programs"/>
    <s v="Enable AMI communications for re-enrolled customers"/>
    <s v="Re-enable meter communications for customers who rejoin AMI programs after opting out."/>
    <s v="Foundational – Not Mapped to SCE Use Case"/>
    <x v="6"/>
    <x v="0"/>
  </r>
  <r>
    <s v="Customer Engagement &amp; Billing"/>
    <s v="Manage opt-out and customer choice programs"/>
    <s v="Process opt-out customer move-in / move-out events"/>
    <s v="Update enrollment and billing settings when opt-out customers move into or out of premises."/>
    <s v="Foundational – Not Mapped to SCE Use Case"/>
    <x v="0"/>
    <x v="0"/>
  </r>
  <r>
    <s v="Customer Engagement &amp; Billing"/>
    <s v="Manage customer support and inquiries"/>
    <s v="Handle AMI-related customer inquiries"/>
    <s v="Respond to customer questions related to metering data, usage, and AMI benefits."/>
    <s v="Use Case 3 – Improve Customer Experience"/>
    <x v="0"/>
    <x v="1"/>
  </r>
  <r>
    <s v="Customer Engagement &amp; Billing"/>
    <s v="Manage customer support and inquiries"/>
    <s v="Investigate billing and data discrepancies"/>
    <s v="Resolve inconsistencies between metering data, billing records, and CIS to maintain accuracy and trust."/>
    <s v="Use Case 1 – Meter-to-Cash, Use Case 3 – Improve Customer Experience"/>
    <x v="1"/>
    <x v="0"/>
  </r>
  <r>
    <s v="Customer Engagement &amp; Billing"/>
    <s v="Manage customer support and inquiries"/>
    <s v="Escalate unresolved AMI cases and close tickets"/>
    <s v="Escalate unresolved cases to appropriate support tiers and ensure timely closure."/>
    <s v="Use Case 3 – Improve Customer Experience"/>
    <x v="0"/>
    <x v="1"/>
  </r>
  <r>
    <s v="Customer Engagement &amp; Billing"/>
    <s v="Manage rate and billing configuration"/>
    <s v="Configure and test dynamic or time-of-use rates"/>
    <s v="Set up and test new rate structures in CIS to support TOU, EV, and DER-based tariffs."/>
    <s v="Use Case 2 – Optimizing Energy Savings with Personalized Incentives"/>
    <x v="3"/>
    <x v="0"/>
  </r>
  <r>
    <s v="Field Operations &amp; Deployment"/>
    <s v="Plan and schedule meter deployment"/>
    <s v="Integrate schedules with work order and contractor systems"/>
    <s v="Synchronize deployment schedules with MIV and work management platforms for real-time visibility."/>
    <s v="Use Case 14 – AMI 2.0 Interoperability"/>
    <x v="0"/>
    <x v="0"/>
  </r>
  <r>
    <s v="Field Operations &amp; Deployment"/>
    <s v="Manage meter and network device inventory"/>
    <s v="Procure and receive meters and network devices"/>
    <s v="Manage procurement, receipt, and inspection of meters and network equipment from approved vendors."/>
    <s v="Foundational – Not Mapped to SCE Use Case"/>
    <x v="0"/>
    <x v="1"/>
  </r>
  <r>
    <s v="Field Operations &amp; Deployment"/>
    <s v="Manage meter and network device inventory"/>
    <s v="Track provisioning and registration of assets"/>
    <s v="Register received meters and network devices into asset tracking and head-end systems."/>
    <s v="Use Case 14 – AMI 2.0 Interoperability"/>
    <x v="0"/>
    <x v="0"/>
  </r>
  <r>
    <s v="Field Operations &amp; Deployment"/>
    <s v="Manage meter and network device inventory"/>
    <s v="Manage returns, warranty, and refurbishment"/>
    <s v="Handle warranty returns, refurbishment cycles, and inventory reconciliation of defective or decommissioned devices."/>
    <s v="Foundational – Not Mapped to SCE Use Case"/>
    <x v="3"/>
    <x v="0"/>
  </r>
  <r>
    <s v="Field Operations &amp; Deployment"/>
    <s v="Coordinate installation and commissioning"/>
    <s v="Assign and execute installation work orders"/>
    <s v="Dispatch and complete meter installation work orders via MIV or contractor systems, updating all related records."/>
    <s v="Use Case 14 – AMI 2.0 Interoperability"/>
    <x v="0"/>
    <x v="0"/>
  </r>
  <r>
    <s v="Field Operations &amp; Deployment"/>
    <s v="Coordinate installation and commissioning"/>
    <s v="Perform commissioning and connectivity validation"/>
    <s v="Validate communication and registration of newly installed meters with the head-end and MDMS systems."/>
    <s v="Use Case 14 – AMI 2.0 Interoperability"/>
    <x v="1"/>
    <x v="0"/>
  </r>
  <r>
    <s v="Field Operations &amp; Deployment"/>
    <s v="Coordinate installation and commissioning"/>
    <s v="Perform meter exchange and re-commissioning"/>
    <s v="Replace existing meters with AMI 2.0 devices and ensure proper deregistration, provisioning, and validation of new assets."/>
    <s v="Foundational – Not Mapped to SCE Use Case"/>
    <x v="1"/>
    <x v="0"/>
  </r>
  <r>
    <s v="Field Operations &amp; Deployment"/>
    <s v="Coordinate installation and commissioning"/>
    <s v="Close MIV work orders and update dashboards"/>
    <s v="Record job completion, capture installer performance data, and synchronize updates across enterprise systems."/>
    <s v="Foundational – Not Mapped to SCE Use Case"/>
    <x v="0"/>
    <x v="1"/>
  </r>
  <r>
    <s v="Field Operations &amp; Deployment"/>
    <s v="Manage field deployment quality and performance"/>
    <s v="Validate communication integrity"/>
    <s v="Assess meter communication performance to confirm full network connectivity and coverage."/>
    <s v="Use Case 5 – Advanced Outage Identification and Location Awareness"/>
    <x v="3"/>
    <x v="0"/>
  </r>
  <r>
    <s v="Field Operations &amp; Deployment"/>
    <s v="Manage field exceptions and issue resolution"/>
    <s v="Detect and categorize deployment exceptions"/>
    <s v="Identify and classify installation exceptions such as access issues, data mismatches, or device failures."/>
    <s v="Use Case 14 – AMI 2.0 Interoperability"/>
    <x v="0"/>
    <x v="0"/>
  </r>
  <r>
    <s v="Field Operations &amp; Deployment"/>
    <s v="Manage MIV synchronization and file handling"/>
    <s v="Manage MIV plan and synchronization"/>
    <s v="Maintain MIV job plans and ensure synchronization of deployment data between MIV and enterprise systems."/>
    <s v="Foundational – Not Mapped to SCE Use Case"/>
    <x v="0"/>
    <x v="0"/>
  </r>
  <r>
    <s v="Field Operations &amp; Deployment"/>
    <s v="Manage MIV synchronization and file handling"/>
    <s v="Handle file and interface exceptions"/>
    <s v="Detect and correct MIV file transfer or format errors to maintain deployment data integrity."/>
    <s v="Foundational – Not Mapped to SCE Use Case"/>
    <x v="0"/>
    <x v="0"/>
  </r>
  <r>
    <s v="Field Operations &amp; Deployment"/>
    <s v="Manage MIV synchronization and file handling"/>
    <s v="Reconcile installation records between systems"/>
    <s v="Cross-check installation completion data between MIV, MDMS, and CIS for consistency."/>
    <s v="Foundational – Not Mapped to SCE Use Case"/>
    <x v="0"/>
    <x v="0"/>
  </r>
  <r>
    <s v="Field Operations &amp; Deployment"/>
    <s v="Manage customer communication during deployment"/>
    <s v="Notify customers of installation schedules"/>
    <s v="Inform customers of upcoming installation dates and access requirements through preferred communication channels."/>
    <s v="Use Case 3 – Improve Customer Experience"/>
    <x v="0"/>
    <x v="1"/>
  </r>
  <r>
    <s v="Field Operations &amp; Deployment"/>
    <s v="Manage customer communication during deployment"/>
    <s v="Communicate completion and follow-up"/>
    <s v="Notify customers upon successful installation and provide usage education or contact information for support."/>
    <s v="Use Case 3 – Improve Customer Experience"/>
    <x v="0"/>
    <x v="1"/>
  </r>
  <r>
    <s v="Field Operations &amp; Deployment"/>
    <s v="Manage deployment interoperability"/>
    <s v="Coordinate utility and vendor system integration"/>
    <s v="Ensure smooth data exchange between utility systems and multiple meter/network vendor platforms."/>
    <s v="Use Case 14 – AMI 2.0 Interoperability"/>
    <x v="0"/>
    <x v="2"/>
  </r>
  <r>
    <s v="Grid &amp; Outage Management"/>
    <s v="Detect and locate outages"/>
    <s v="Detect and validate outage events via AMI telemetry"/>
    <s v="Identify outages from AMI last-gasp signals, validate through multiple data sources, and flag confirmed events."/>
    <s v="Use Case 5 – Advanced Outage Identification and Location Awareness"/>
    <x v="3"/>
    <x v="0"/>
  </r>
  <r>
    <s v="Grid &amp; Outage Management"/>
    <s v="Detect and locate outages"/>
    <s v="Cluster and prioritize outage events for dispatch"/>
    <s v="Group and prioritize outages by severity, location, and customer impact to optimize restoration resources."/>
    <s v="Use Case 5 – Advanced Outage Identification and Location Awareness"/>
    <x v="3"/>
    <x v="0"/>
  </r>
  <r>
    <s v="Grid &amp; Outage Management"/>
    <s v="Detect and locate outages"/>
    <s v="Verify restoration and update OMS"/>
    <s v="Confirm restoration completion using AMI ping data and update OMS and customer communication systems."/>
    <s v="Use Case 5 – Advanced Outage Identification and Location Awareness"/>
    <x v="4"/>
    <x v="0"/>
  </r>
  <r>
    <s v="Grid &amp; Outage Management"/>
    <s v="Manage outage communications"/>
    <s v="Deliver outage and restoration notifications to customers"/>
    <s v="Send real-time outage and restoration status updates to impacted customers through preferred communication channels."/>
    <s v="Use Case 3 – Improve Customer Experience, Use Case 5 – Advanced Outage Identification and Location Awareness"/>
    <x v="4"/>
    <x v="0"/>
  </r>
  <r>
    <s v="Grid &amp; Outage Management"/>
    <s v="Manage outage communications"/>
    <s v="Coordinate field and customer service alignment during outages"/>
    <s v="Ensure consistent information between field operations and call centers regarding outage status and restoration progress."/>
    <s v="Use Case 5 – Advanced Outage Identification and Location Awareness"/>
    <x v="3"/>
    <x v="0"/>
  </r>
  <r>
    <s v="Grid &amp; Outage Management"/>
    <s v="Monitor feeder and transformer loading"/>
    <s v="Aggregate and monitor feeder and transformer loads"/>
    <s v="Collect and analyze feeder and transformer load data to detect overloads or unbalanced conditions."/>
    <s v="Use Case 10 – Performance and Health of Distribution System Assets"/>
    <x v="1"/>
    <x v="2"/>
  </r>
  <r>
    <s v="Grid &amp; Outage Management"/>
    <s v="Monitor feeder and transformer loading"/>
    <s v="Trigger corrective switching actions"/>
    <s v="Initiate manual or automated switching actions to balance loads or prevent overloads."/>
    <s v="Use Case 12 – Switching Support, Outage Selection, and Controlled Restoration"/>
    <x v="5"/>
    <x v="2"/>
  </r>
  <r>
    <s v="Grid &amp; Outage Management"/>
    <s v="Detect voltage and power quality issues"/>
    <s v="Analyze voltage, frequency, and harmonic data"/>
    <s v="Monitor voltage, frequency, and harmonics from AMI data to identify power quality deviations."/>
    <s v="Use Case 10 – Performance and Health of Distribution System Assets"/>
    <x v="1"/>
    <x v="0"/>
  </r>
  <r>
    <s v="Grid &amp; Outage Management"/>
    <s v="Detect voltage and power quality issues"/>
    <s v="Classify and report power quality anomalies"/>
    <s v="Categorize power quality events (sags, swells, harmonics) and report them to grid operations for resolution."/>
    <s v="Use Case 10 – Performance and Health of Distribution System Assets"/>
    <x v="1"/>
    <x v="0"/>
  </r>
  <r>
    <s v="Grid &amp; Outage Management"/>
    <s v="Detect voltage and power quality issues"/>
    <s v="Trigger voltage regulator or capacitor adjustments"/>
    <s v="Recommend or automatically trigger voltage regulation adjustments based on AMI measurements."/>
    <s v="Use Case 10 – Performance and Health of Distribution System Assets"/>
    <x v="4"/>
    <x v="2"/>
  </r>
  <r>
    <s v="Grid &amp; Outage Management"/>
    <s v="Detect and analyze behind-the-meter events"/>
    <s v="Identify and classify EV charging signatures"/>
    <s v="Detect load patterns associated with EV charging to enhance load forecasting and grid planning."/>
    <s v="Use Case 18 – Grid Ops: Situational Awareness"/>
    <x v="5"/>
    <x v="2"/>
  </r>
  <r>
    <s v="Grid &amp; Outage Management"/>
    <s v="Detect and analyze behind-the-meter events"/>
    <s v="Detect rooftop solar and battery generation"/>
    <s v="Identify customer-installed DER generation events using AMI interval and harmonic data."/>
    <s v="Use Case 18 – Grid Ops: Situational Awareness"/>
    <x v="5"/>
    <x v="2"/>
  </r>
  <r>
    <s v="Grid &amp; Outage Management"/>
    <s v="Detect and analyze behind-the-meter events"/>
    <s v="Correlate load changes with customer profiles"/>
    <s v="Analyze BTM load data with customer profiles to refine forecasting and anomaly detection."/>
    <s v="Use Case 7 – Long-Term Grid Planning"/>
    <x v="5"/>
    <x v="2"/>
  </r>
  <r>
    <s v="Grid &amp; Outage Management"/>
    <s v="Manage connectivity and topology"/>
    <s v="Map meter-to-transformer connectivity"/>
    <s v="Establish and maintain accurate meter-to-transformer connectivity models for grid visibility."/>
    <s v="Use Case 11 – Distribution Connectivity Model &amp; Monitoring"/>
    <x v="3"/>
    <x v="0"/>
  </r>
  <r>
    <s v="Grid &amp; Outage Management"/>
    <s v="Manage connectivity and topology"/>
    <s v="Monitor and validate connectivity model accuracy"/>
    <s v="Continuously verify connectivity accuracy using AMI and GIS data feedback."/>
    <s v="Use Case 11 – Distribution Connectivity Model &amp; Monitoring"/>
    <x v="4"/>
    <x v="0"/>
  </r>
  <r>
    <s v="Grid &amp; Outage Management"/>
    <s v="Manage connectivity and topology"/>
    <s v="Integrate connectivity model with outage and DER tools"/>
    <s v="Provide real-time connectivity data to outage and DER planning applications for situational awareness."/>
    <s v="Use Case 11 – Distribution Connectivity Model &amp; Monitoring, Use Case 18 – Grid Ops: Situational Awareness"/>
    <x v="5"/>
    <x v="2"/>
  </r>
  <r>
    <s v="Grid &amp; Outage Management"/>
    <s v="Perform controlled switching and restoration"/>
    <s v="Execute validated switching commands"/>
    <s v="Perform operator-approved switching and restoration commands to safely restore service."/>
    <s v="Use Case 12 – Switching Support, Outage Selection, and Controlled Restoration"/>
    <x v="5"/>
    <x v="2"/>
  </r>
  <r>
    <s v="Grid &amp; Outage Management"/>
    <s v="Perform controlled switching and restoration"/>
    <s v="Monitor and verify controlled restoration sequence"/>
    <s v="Validate staged restoration progress using AMI telemetry and update system status in OMS."/>
    <s v="Use Case 12 – Switching Support, Outage Selection, and Controlled Restoration"/>
    <x v="5"/>
    <x v="2"/>
  </r>
  <r>
    <s v="Grid &amp; Outage Management"/>
    <s v="Perform grid fault and incipient failure detection"/>
    <s v="Detect incipient faults in distribution components"/>
    <s v="Identify early failure indicators in transformers, capacitors, or cables using AMI power quality data."/>
    <s v="Use Case 15 – Fault &amp; Incipient Fault Identification on the Distribution System"/>
    <x v="4"/>
    <x v="0"/>
  </r>
  <r>
    <s v="Grid &amp; Outage Management"/>
    <s v="Perform grid fault and incipient failure detection"/>
    <s v="Correlate AMI data with other sensor inputs"/>
    <s v="Integrate AMI-derived fault indicators with SCADA or IoT sensors for improved fault localization."/>
    <s v="Use Case 15 – Fault &amp; Incipient Fault Identification on the Distribution System"/>
    <x v="3"/>
    <x v="0"/>
  </r>
  <r>
    <s v="Grid &amp; Outage Management"/>
    <s v="Perform grid fault and incipient failure detection"/>
    <s v="Prioritize maintenance for at-risk assets"/>
    <s v="Generate maintenance recommendations for assets showing early fault conditions."/>
    <s v="Use Case 15 – Fault &amp; Incipient Fault Identification on the Distribution System, Use Case 10 – Performance and Health of Distribution System Assets"/>
    <x v="4"/>
    <x v="0"/>
  </r>
  <r>
    <s v="Grid &amp; Outage Management"/>
    <s v="Perform event analysis and root-cause investigation"/>
    <s v="Reconstruct outage and restoration sequences"/>
    <s v="Analyze AMI, OMS, and SCADA data to reconstruct outage events and restoration timelines."/>
    <s v="Use Case 13 – Post Event Analysis"/>
    <x v="5"/>
    <x v="0"/>
  </r>
  <r>
    <s v="Grid &amp; Outage Management"/>
    <s v="Perform event analysis and root-cause investigation"/>
    <s v="Identify root causes of faults or outages"/>
    <s v="Determine likely causes of outages or power quality events through data correlation and analytics."/>
    <s v="Use Case 13 – Post Event Analysis"/>
    <x v="5"/>
    <x v="0"/>
  </r>
  <r>
    <s v="Grid &amp; Outage Management"/>
    <s v="Perform event analysis and root-cause investigation"/>
    <s v="Document and close event investigations"/>
    <s v="Record findings, corrective actions, and lessons learned from outage investigations."/>
    <s v="Use Case 13 – Post Event Analysis"/>
    <x v="5"/>
    <x v="1"/>
  </r>
  <r>
    <s v="Grid &amp; Outage Management"/>
    <s v="Manage remote disconnect and reconnect"/>
    <s v="Perform remote disconnect / reconnect for move-out or move-in"/>
    <s v="Execute and validate remote meter disconnect or reconnect commands in coordination with CIS and MDMS."/>
    <s v="Foundational – Not Mapped to SCE Use Case"/>
    <x v="0"/>
    <x v="0"/>
  </r>
  <r>
    <s v="Grid &amp; Outage Management"/>
    <s v="Manage outage testing and diagnostics"/>
    <s v="Ping meters for outage verification"/>
    <s v="Execute targeted meter pings to confirm power restoration or validate outage boundaries."/>
    <s v="Use Case 5 – Advanced Outage Identification and Location Awareness"/>
    <x v="3"/>
    <x v="1"/>
  </r>
  <r>
    <s v="Grid &amp; Outage Management"/>
    <s v="Manage outage testing and diagnostics"/>
    <s v="Simulate outage detection scenarios"/>
    <s v="Test AMI outage detection algorithms using synthetic data to validate performance."/>
    <s v="Use Case 5 – Advanced Outage Identification and Location Awareness"/>
    <x v="5"/>
    <x v="0"/>
  </r>
  <r>
    <s v="Grid &amp; Outage Management"/>
    <s v="Manage outage testing and diagnostics"/>
    <s v="Analyze false outage signals"/>
    <s v="Investigate and resolve erroneous outage reports to improve algorithm accuracy."/>
    <s v="Use Case 5 – Advanced Outage Identification and Location Awareness"/>
    <x v="5"/>
    <x v="0"/>
  </r>
  <r>
    <s v="Meter Asset Management"/>
    <s v="Procure and manage metering assets"/>
    <s v="Forecast meter and network device demand"/>
    <s v="Estimate meter and communication device needs based on deployment schedules, replacement rates, and growth forecasts."/>
    <s v="Foundational – Not Mapped to SCE Use Case"/>
    <x v="0"/>
    <x v="1"/>
  </r>
  <r>
    <s v="Meter Asset Management"/>
    <s v="Procure and manage metering assets"/>
    <s v="Issue meter and network device purchase orders"/>
    <s v="Manage purchase orders and vendor coordination for approved metering and communication equipment."/>
    <s v="Foundational – Not Mapped to SCE Use Case"/>
    <x v="0"/>
    <x v="1"/>
  </r>
  <r>
    <s v="Meter Asset Management"/>
    <s v="Procure and manage metering assets"/>
    <s v="Receive and inspect delivered assets"/>
    <s v="Receive, inspect, and validate meter and network device shipments for conformance with specifications."/>
    <s v="Foundational – Not Mapped to SCE Use Case"/>
    <x v="0"/>
    <x v="1"/>
  </r>
  <r>
    <s v="Meter Asset Management"/>
    <s v="Procure and manage metering assets"/>
    <s v="Register devices in asset and head-end systems"/>
    <s v="Record unique device identifiers and link assets across asset management, CIS, and MDMS systems."/>
    <s v="Use Case 14 – AMI 2.0 Interoperability"/>
    <x v="0"/>
    <x v="0"/>
  </r>
  <r>
    <s v="Meter Asset Management"/>
    <s v="Manage inventory and warehousing"/>
    <s v="Track warehouse inventory and movements"/>
    <s v="Maintain real-time visibility of meters and network devices through storage, staging, and field issue processes."/>
    <s v="Foundational – Not Mapped to SCE Use Case"/>
    <x v="0"/>
    <x v="1"/>
  </r>
  <r>
    <s v="Meter Asset Management"/>
    <s v="Manage inventory and warehousing"/>
    <s v="Reconcile field inventory and system counts"/>
    <s v="Validate consistency between warehouse, MIV, and field inventories."/>
    <s v="Foundational – Not Mapped to SCE Use Case"/>
    <x v="0"/>
    <x v="0"/>
  </r>
  <r>
    <s v="Meter Asset Management"/>
    <s v="Manage returns and warranty"/>
    <s v="Process warranty claims and replacements"/>
    <s v="Manage warranty returns and replacements for defective meters or network devices."/>
    <s v="Foundational – Not Mapped to SCE Use Case"/>
    <x v="0"/>
    <x v="0"/>
  </r>
  <r>
    <s v="Meter Asset Management"/>
    <s v="Manage returns and warranty"/>
    <s v="Manage refurbishment and end-of-life disposal"/>
    <s v="Oversee refurbishment or environmentally compliant disposal of obsolete meters and network devices."/>
    <s v="Foundational – Not Mapped to SCE Use Case"/>
    <x v="0"/>
    <x v="1"/>
  </r>
  <r>
    <s v="Meter Asset Management"/>
    <s v="Manage network device lifecycle"/>
    <s v="Install and maintain network access points"/>
    <s v="Coordinate installation, maintenance, and retirement of network access points or routers supporting AMI communications."/>
    <s v="Use Case 14 – AMI 2.0 Interoperability"/>
    <x v="1"/>
    <x v="0"/>
  </r>
  <r>
    <s v="Meter Asset Management"/>
    <s v="Manage network device lifecycle"/>
    <s v="Remove socket access points and decommission interfaces"/>
    <s v="Remove obsolete or faulty communication modules and update network configuration."/>
    <s v="Foundational – Not Mapped to SCE Use Case"/>
    <x v="3"/>
    <x v="1"/>
  </r>
  <r>
    <s v="Meter Asset Management"/>
    <s v="Manage device firmware and configuration"/>
    <s v="Plan and schedule firmware upgrades"/>
    <s v="Schedule and execute firmware updates to maintain meter and network device compliance and functionality."/>
    <s v="Use Case 14 – AMI 2.0 Interoperability"/>
    <x v="0"/>
    <x v="0"/>
  </r>
  <r>
    <s v="Meter Asset Management"/>
    <s v="Manage device firmware and configuration"/>
    <s v="Validate firmware deployment success"/>
    <s v="Verify successful firmware deployment and device connectivity following updates."/>
    <s v="Use Case 14 – AMI 2.0 Interoperability"/>
    <x v="0"/>
    <x v="0"/>
  </r>
  <r>
    <s v="Meter Asset Management"/>
    <s v="Manage meter field operations"/>
    <s v="Perform steady-state meter installation"/>
    <s v="Execute meter installations as part of new service connections or replacements outside of mass deployment."/>
    <s v="Foundational – Not Mapped to SCE Use Case"/>
    <x v="0"/>
    <x v="0"/>
  </r>
  <r>
    <s v="Meter Asset Management"/>
    <s v="Manage meter field operations"/>
    <s v="Perform meter exchange and commissioning"/>
    <s v="Replace and commission meters for maintenance, testing, or upgrade purposes ensuring communication and billing readiness."/>
    <s v="Foundational – Not Mapped to SCE Use Case"/>
    <x v="1"/>
    <x v="0"/>
  </r>
  <r>
    <s v="Meter Asset Management"/>
    <s v="Manage meter field operations"/>
    <s v="Perform meter removal and decommissioning"/>
    <s v="Remove meters from service, ensure final reads, and update all related systems."/>
    <s v="Foundational – Not Mapped to SCE Use Case"/>
    <x v="0"/>
    <x v="0"/>
  </r>
  <r>
    <s v="Meter Asset Management"/>
    <s v="Manage meter field operations"/>
    <s v="Conduct meter investigations"/>
    <s v="Dispatch field investigations for customer complaints, abnormal reads, or communication failures."/>
    <s v="Use Case 4 – Revenue Protection, Use Case 10 – Performance and Health of Distribution System Assets"/>
    <x v="0"/>
    <x v="0"/>
  </r>
  <r>
    <s v="Meter Asset Management"/>
    <s v="Manage remote connect/disconnect operations"/>
    <s v="Perform remote disconnect for non-payment"/>
    <s v="Execute remote disconnect commands for delinquent accounts following compliance and notification procedures."/>
    <s v="Foundational – Not Mapped to SCE Use Case"/>
    <x v="0"/>
    <x v="0"/>
  </r>
  <r>
    <s v="Meter Asset Management"/>
    <s v="Manage remote connect/disconnect operations"/>
    <s v="Perform remote reconnect after payment"/>
    <s v="Validate payment, execute remote reconnect command, and verify service restoration."/>
    <s v="Foundational – Not Mapped to SCE Use Case"/>
    <x v="0"/>
    <x v="0"/>
  </r>
  <r>
    <s v="Meter Asset Management"/>
    <s v="Manage remote connect/disconnect operations"/>
    <s v="Perform remote disconnect / reconnect for move-in or move-out"/>
    <s v="Execute remote meter operations for customer occupancy changes in coordination with CIS."/>
    <s v="Foundational – Not Mapped to SCE Use Case"/>
    <x v="0"/>
    <x v="0"/>
  </r>
  <r>
    <s v="Meter Asset Management"/>
    <s v="Manage remote connect/disconnect operations"/>
    <s v="Detect unauthorized or unsafe usage"/>
    <s v="Identify meters drawing load post-disconnect and flag for investigation."/>
    <s v="Use Case 4 – Revenue Protection"/>
    <x v="1"/>
    <x v="0"/>
  </r>
  <r>
    <s v="Meter Asset Management"/>
    <s v="Manage meter operations commands"/>
    <s v="Execute on-demand reads or pings"/>
    <s v="Perform real-time meter read or ping commands to verify meter connectivity or resolve exceptions."/>
    <s v="Use Case 5 – Advanced Outage Identification and Location Awareness"/>
    <x v="0"/>
    <x v="1"/>
  </r>
  <r>
    <s v="Meter Asset Management"/>
    <s v="Manage meter operations commands"/>
    <s v="Send test or diagnostic commands"/>
    <s v="Send diagnostic commands to validate meter health or confirm firmware behavior."/>
    <s v="Use Case 14 – AMI 2.0 Interoperability"/>
    <x v="0"/>
    <x v="1"/>
  </r>
  <r>
    <s v="Meter Asset Management"/>
    <s v="Monitor meter performance"/>
    <s v="Track device reliability and communication performance"/>
    <s v="Monitor meter reliability, communication stability, and recurring issue patterns."/>
    <s v="Use Case 10 – Performance and Health of Distribution System Assets"/>
    <x v="1"/>
    <x v="0"/>
  </r>
  <r>
    <s v="Data &amp; Analytics Platform Management"/>
    <s v="Manage AMI data collection and validation"/>
    <s v="Ingest and validate interval and event data"/>
    <s v="Collect and validate usage, voltage, and event data from AMI head-end systems to ensure completeness and accuracy."/>
    <s v="Use Case 1 – Meter-to-Cash, Use Case 10 – Performance and Health of Distribution System Assets"/>
    <x v="1"/>
    <x v="0"/>
  </r>
  <r>
    <s v="Data &amp; Analytics Platform Management"/>
    <s v="Manage AMI data collection and validation"/>
    <s v="Resolve data gaps and anomalies"/>
    <s v="Detect and correct missing or inconsistent AMI data to maintain billing and analytics integrity."/>
    <s v="Use Case 1 – Meter-to-Cash, Use Case 10 – Performance and Health of Distribution System Assets"/>
    <x v="1"/>
    <x v="0"/>
  </r>
  <r>
    <s v="Data &amp; Analytics Platform Management"/>
    <s v="Manage AMI data collection and validation"/>
    <s v="Store validated data in MDMS and analytics repositories"/>
    <s v="Persist cleansed and verified AMI data into MDMS and enterprise data platforms for consumption by downstream systems."/>
    <s v="Use Case 14 – AMI 2.0 Interoperability"/>
    <x v="0"/>
    <x v="0"/>
  </r>
  <r>
    <s v="Data &amp; Analytics Platform Management"/>
    <s v="Manage data integration and exchange"/>
    <s v="Define and maintain data interfaces"/>
    <s v="Define, document, and manage interfaces between head-end, MDMS, CIS, and analytics systems."/>
    <s v="Use Case 14 – AMI 2.0 Interoperability"/>
    <x v="1"/>
    <x v="2"/>
  </r>
  <r>
    <s v="Data &amp; Analytics Platform Management"/>
    <s v="Manage data integration and exchange"/>
    <s v="Transform and normalize datasets"/>
    <s v="Standardize and harmonize data formats across AMI, OMS, and analytics systems for consistency and interoperability."/>
    <s v="Use Case 14 – AMI 2.0 Interoperability"/>
    <x v="0"/>
    <x v="0"/>
  </r>
  <r>
    <s v="Data &amp; Analytics Platform Management"/>
    <s v="Manage data integration and exchange"/>
    <s v="Monitor and reconcile ETL/ELT and API jobs"/>
    <s v="Monitor scheduled and near-real-time data transfers and reconcile discrepancies across platforms."/>
    <s v="Use Case 14 – AMI 2.0 Interoperability"/>
    <x v="1"/>
    <x v="0"/>
  </r>
  <r>
    <s v="Data &amp; Analytics Platform Management"/>
    <s v="Manage data governance and quality"/>
    <s v="Apply and monitor quality rules"/>
    <s v="Enforce data quality standards and continuously monitor results through dashboards."/>
    <s v="Foundational – Not Mapped to SCE Use Case"/>
    <x v="1"/>
    <x v="0"/>
  </r>
  <r>
    <s v="Data &amp; Analytics Platform Management"/>
    <s v="Manage data governance and quality"/>
    <s v="Resolve data quality exceptions and publish metrics"/>
    <s v="Resolve exceptions and report AMI data quality metrics to business stakeholders."/>
    <s v="Foundational – Not Mapped to SCE Use Case"/>
    <x v="1"/>
    <x v="0"/>
  </r>
  <r>
    <s v="Data &amp; Analytics Platform Management"/>
    <s v="Manage data security and privacy"/>
    <s v="Implement role-based access control and encryption"/>
    <s v="Enforce access control and data encryption to secure AMI data at rest and in transit."/>
    <s v="Foundational – Not Mapped to SCE Use Case"/>
    <x v="1"/>
    <x v="0"/>
  </r>
  <r>
    <s v="Data &amp; Analytics Platform Management"/>
    <s v="Manage data security and privacy"/>
    <s v="Monitor access logs and regulatory compliance"/>
    <s v="Continuously monitor user access and log activities to maintain compliance with CPUC and privacy policies."/>
    <s v="Foundational – Not Mapped to SCE Use Case"/>
    <x v="3"/>
    <x v="0"/>
  </r>
  <r>
    <s v="Data &amp; Analytics Platform Management"/>
    <s v="Manage data security and privacy"/>
    <s v="Enforce retention and purge policies"/>
    <s v="Apply retention schedules and securely purge data per policy and regulatory requirements."/>
    <s v="Foundational – Not Mapped to SCE Use Case"/>
    <x v="5"/>
    <x v="0"/>
  </r>
  <r>
    <s v="Data &amp; Analytics Platform Management"/>
    <s v="Manage advanced analytics and AI"/>
    <s v="Develop and train AI/ML models"/>
    <s v="Build AI models for forecasting, fault detection, and load disaggregation using AMI and DER data."/>
    <s v="Use Case 7 – Long-Term Grid Planning, Use Case 10 – Performance and Health of Distribution System Assets"/>
    <x v="3"/>
    <x v="2"/>
  </r>
  <r>
    <s v="Data &amp; Analytics Platform Management"/>
    <s v="Manage advanced analytics and AI"/>
    <s v="Deploy and monitor analytical models for drift"/>
    <s v="Deploy models to production, monitor for drift, and retrain as performance degrades."/>
    <s v="Use Case 7 – Long-Term Grid Planning, Use Case 13 – Post Event Analysis"/>
    <x v="5"/>
    <x v="2"/>
  </r>
  <r>
    <s v="Data &amp; Analytics Platform Management"/>
    <s v="Manage advanced analytics and AI"/>
    <s v="Maintain model registry and retraining pipeline"/>
    <s v="Maintain an inventory of deployed models and automate retraining cycles."/>
    <s v="Use Case 7 – Long-Term Grid Planning"/>
    <x v="5"/>
    <x v="0"/>
  </r>
  <r>
    <s v="Data &amp; Analytics Platform Management"/>
    <s v="Manage edge and distributed intelligence"/>
    <s v="Configure and deploy edge analytics algorithms"/>
    <s v="Install and manage distributed analytical logic at the edge (e.g., meters, gateways) for localized intelligence."/>
    <s v="Use Case 14 – AMI 2.0 Interoperability, Use Case 18 – Grid Ops: Situational Awareness"/>
    <x v="4"/>
    <x v="2"/>
  </r>
  <r>
    <s v="Data &amp; Analytics Platform Management"/>
    <s v="Manage edge and distributed intelligence"/>
    <s v="Monitor edge performance and firmware analytics"/>
    <s v="Monitor health, data latency, and performance of deployed edge analytics modules."/>
    <s v="Use Case 14 – AMI 2.0 Interoperability, Use Case 18 – Grid Ops: Situational Awareness"/>
    <x v="5"/>
    <x v="0"/>
  </r>
  <r>
    <s v="Data &amp; Analytics Platform Management"/>
    <s v="Manage edge and distributed intelligence"/>
    <s v="Manage firmware and AI model updates"/>
    <s v="Administer updates to embedded firmware and distributed intelligence models to maintain compatibility."/>
    <s v="Use Case 14 – AMI 2.0 Interoperability"/>
    <x v="0"/>
    <x v="0"/>
  </r>
  <r>
    <s v="Data &amp; Analytics Platform Management"/>
    <s v="Manage reporting and visualization"/>
    <s v="Design and maintain AMI dashboards"/>
    <s v="Create and maintain dashboards to visualize AMI performance, reliability, and customer insights."/>
    <s v="Use Case 13 – Post Event Analysis, Use Case 18 – Grid Ops: Situational Awareness"/>
    <x v="5"/>
    <x v="0"/>
  </r>
  <r>
    <s v="Data &amp; Analytics Platform Management"/>
    <s v="Manage reporting and visualization"/>
    <s v="Automate recurring reports and analytics"/>
    <s v="Automate generation and distribution of recurring performance and compliance reports."/>
    <s v="Use Case 13 – Post Event Analysis"/>
    <x v="5"/>
    <x v="0"/>
  </r>
  <r>
    <s v="Data &amp; Analytics Platform Management"/>
    <s v="Manage reporting and visualization"/>
    <s v="Provide self-service analytics tools"/>
    <s v="Enable authorized users to explore AMI data through governed self-service analytics platforms."/>
    <s v="Use Case 6 – 3rd Party Meter Data Access, Use Case 7 – Long-Term Grid Planning"/>
    <x v="5"/>
    <x v="0"/>
  </r>
  <r>
    <s v="Data &amp; Analytics Platform Management"/>
    <s v="Manage enterprise data platform"/>
    <s v="Monitor storage utilization and optimize performance"/>
    <s v="Track and optimize data storage and retrieval performance across on-premise and cloud environments."/>
    <s v="Foundational – Not Mapped to SCE Use Case"/>
    <x v="1"/>
    <x v="0"/>
  </r>
  <r>
    <s v="Data &amp; Analytics Platform Management"/>
    <s v="Manage enterprise data platform"/>
    <s v="Manage data archival and retrieval"/>
    <s v="Archive aged AMI data for cost management while ensuring accessibility for audits or analytics."/>
    <s v="Foundational – Not Mapped to SCE Use Case"/>
    <x v="3"/>
    <x v="0"/>
  </r>
  <r>
    <s v="Data &amp; Analytics Platform Management"/>
    <s v="Manage enterprise data platform"/>
    <s v="Coordinate AMI data integration with enterprise data lake"/>
    <s v="Transfer validated AMI datasets to the enterprise data lake for use in analytics and data science."/>
    <s v="Foundational – Not Mapped to SCE Use Case"/>
    <x v="1"/>
    <x v="0"/>
  </r>
  <r>
    <s v="Data &amp; Analytics Platform Management"/>
    <s v="Manage interoperability and event correlation"/>
    <s v="Capture and correlate operational events across AMI, OMS, and CIS"/>
    <s v="Correlate operational events to identify cross-domain dependencies and performance insights."/>
    <s v="Use Case 13 – Post Event Analysis, Use Case 14 – AMI 2.0 Interoperability"/>
    <x v="5"/>
    <x v="2"/>
  </r>
  <r>
    <s v="Data &amp; Analytics Platform Management"/>
    <s v="Manage interoperability and event correlation"/>
    <s v="Analyze AMI event notifications"/>
    <s v="Examine AMI-generated events (alarms, last-gasp, reconnects) to derive actionable insights."/>
    <s v="Use Case 13 – Post Event Analysis, Use Case 5 – Advanced Outage Identification and Location Awareness"/>
    <x v="0"/>
    <x v="0"/>
  </r>
  <r>
    <s v="Data &amp; Analytics Platform Management"/>
    <s v="Manage interoperability and event correlation"/>
    <s v="Identify cross-system anomalies"/>
    <s v="Detect inconsistencies between AMI, OMS, and SCADA data to enhance reliability."/>
    <s v="Use Case 13 – Post Event Analysis, Use Case 15 – Fault &amp; Incipient Fault Identification on the Distribution System"/>
    <x v="5"/>
    <x v="2"/>
  </r>
  <r>
    <s v="Data &amp; Analytics Platform Management"/>
    <s v="Manage regulatory and market data reporting"/>
    <s v="Define and interpret regulatory reporting requirements"/>
    <s v="Translate CPUC and CAISO requirements into structured AMI data reporting specifications."/>
    <s v="Foundational – Not Mapped to SCE Use Case"/>
    <x v="3"/>
    <x v="0"/>
  </r>
  <r>
    <s v="Data &amp; Analytics Platform Management"/>
    <s v="Manage regulatory and market data reporting"/>
    <s v="Extract, validate, and submit regulatory datasets"/>
    <s v="Generate and submit AMI datasets to regulators and market participants."/>
    <s v="Use Case 7 – Long-Term Grid Planning"/>
    <x v="5"/>
    <x v="2"/>
  </r>
  <r>
    <s v="Data &amp; Analytics Platform Management"/>
    <s v="Manage regulatory and market data reporting"/>
    <s v="Track submissions and resolve exceptions"/>
    <s v="Track report submissions and resolve rejections or data exceptions."/>
    <s v="Use Case 7 – Long-Term Grid Planning"/>
    <x v="5"/>
    <x v="0"/>
  </r>
  <r>
    <s v="Data &amp; Analytics Platform Management"/>
    <s v="Manage regulatory and market data reporting"/>
    <s v="Monitor and implement regulatory changes"/>
    <s v="Track new or updated reporting requirements and adjust reporting logic accordingly."/>
    <s v="Foundational – Not Mapped to SCE Use Case"/>
    <x v="5"/>
    <x v="0"/>
  </r>
  <r>
    <s v="Data &amp; Analytics Platform Management"/>
    <s v="Manage third-party data exchange"/>
    <s v="Authenticate and authorize third-party data requests"/>
    <s v="Verify credentials and enforce access permissions for third-party data consumers."/>
    <s v="Use Case 6 – 3rd Party Meter Data Access"/>
    <x v="5"/>
    <x v="2"/>
  </r>
  <r>
    <s v="Data &amp; Analytics Platform Management"/>
    <s v="Manage third-party data exchange"/>
    <s v="Transmit datasets securely to authorized third parties"/>
    <s v="Transfer AMI datasets through secure API channels in compliance with privacy and cybersecurity standards."/>
    <s v="Use Case 6 – 3rd Party Meter Data Access"/>
    <x v="5"/>
    <x v="2"/>
  </r>
  <r>
    <s v="Data &amp; Analytics Platform Management"/>
    <s v="Manage third-party data exchange"/>
    <s v="Monitor API usage and maintain audit logs"/>
    <s v="Track and log third-party API usage to ensure compliance and detect misuse."/>
    <s v="Use Case 6 – 3rd Party Meter Data Access"/>
    <x v="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s v="Meter Asset Management"/>
    <s v="Procure and manage metering assets"/>
    <s v="Forecast meter and network device demand"/>
    <s v="Estimate meter and communication device needs based on deployment schedules, replacement rates, and growth forecasts."/>
    <s v="Foundational – Not Mapped to SCE Use Case"/>
    <x v="0"/>
    <s v="N/A"/>
    <x v="0"/>
  </r>
  <r>
    <s v="Meter Asset Management"/>
    <s v="Procure and manage metering assets"/>
    <s v="Issue meter and network device purchase orders"/>
    <s v="Manage purchase orders and vendor coordination for approved metering and communication equipment."/>
    <s v="Foundational – Not Mapped to SCE Use Case"/>
    <x v="0"/>
    <s v="N/A"/>
    <x v="0"/>
  </r>
  <r>
    <s v="Meter Asset Management"/>
    <s v="Procure and manage metering assets"/>
    <s v="Procure meters and network devices"/>
    <s v="Manage procurement of meters and network equipment from approved vendors."/>
    <s v="Foundational – Not Mapped to SCE Use Case"/>
    <x v="0"/>
    <s v="N/A"/>
    <x v="0"/>
  </r>
  <r>
    <s v="Meter Asset Management"/>
    <s v="Procure and manage metering assets"/>
    <s v="Receive and inspect delivered assets"/>
    <s v="Receive, inspect, and validate meter and network device shipments for conformance with specifications."/>
    <s v="Foundational – Not Mapped to SCE Use Case"/>
    <x v="0"/>
    <s v="N/A"/>
    <x v="0"/>
  </r>
  <r>
    <s v="Meter Asset Management"/>
    <s v="Procure and manage metering assets"/>
    <s v="Register devices in asset and head-end systems"/>
    <s v="Record unique device identifiers and link assets across asset management, CIS, and MDMS systems."/>
    <s v="Use Case 14 – AMI 2.0 Interoperability"/>
    <x v="0"/>
    <s v="N/A"/>
    <x v="1"/>
  </r>
  <r>
    <s v="Meter Asset Management"/>
    <s v="Manage returns and warranty"/>
    <s v="Manage returns, warranty, and refurbishment (network devices)"/>
    <s v="Handle warranty returns, refurbishment cycles, and inventory reconciliation of defective or decommissioned network devices."/>
    <s v="Foundational – Not Mapped to SCE Use Case"/>
    <x v="1"/>
    <s v="N/A"/>
    <x v="1"/>
  </r>
  <r>
    <s v="Meter Asset Management"/>
    <s v="Manage returns and warranty"/>
    <s v="Manage returns, warranty, and refurbishment (metering devices)"/>
    <s v="Handle warranty returns, refurbishment cycles, and inventory reconciliation of defective or decommissioned metering devices."/>
    <s v="Foundational – Not Mapped to SCE Use Case"/>
    <x v="0"/>
    <s v="N/A"/>
    <x v="1"/>
  </r>
  <r>
    <s v="Meter Asset Management"/>
    <s v="Manage inventory and warehousing"/>
    <s v="Track warehouse inventory and movements"/>
    <s v="Maintain real-time visibility of meters and network devices through storage, staging, and field issue processes."/>
    <s v="Foundational – Not Mapped to SCE Use Case"/>
    <x v="0"/>
    <s v="N/A"/>
    <x v="0"/>
  </r>
  <r>
    <s v="Meter Asset Management"/>
    <s v="Manage inventory and warehousing"/>
    <s v="Reconcile field inventory and system counts"/>
    <s v="Validate consistency between warehouse, MIV, and field inventories."/>
    <s v="Foundational – Not Mapped to SCE Use Case"/>
    <x v="0"/>
    <s v="N/A"/>
    <x v="1"/>
  </r>
  <r>
    <s v="Meter Asset Management"/>
    <s v="Manage inventory and warehousing"/>
    <s v="Track registration of assets"/>
    <s v="Register received meters and network devices into asset tracking and head-end systems."/>
    <s v="Use Case 14 – AMI 2.0 Interoperability"/>
    <x v="0"/>
    <s v="N/A"/>
    <x v="1"/>
  </r>
  <r>
    <s v="Mass Meter Deployment"/>
    <s v="Manage MIV synchronization and file handling"/>
    <s v="Manage MIV plan and synchronization"/>
    <s v="Maintain MIV job plans and ensure synchronization of deployment data between MIV and enterprise systems."/>
    <s v="Foundational – Not Mapped to SCE Use Case"/>
    <x v="0"/>
    <s v="N/A"/>
    <x v="1"/>
  </r>
  <r>
    <s v="Mass Meter Deployment"/>
    <s v="Manage MIV synchronization and file handling"/>
    <s v="Handle CIS-to-MIV file and interface exceptions"/>
    <s v="Detect and correct MIV file transfer or format errors to maintain deployment data integrity."/>
    <s v="Foundational – Not Mapped to SCE Use Case"/>
    <x v="0"/>
    <s v="N/A"/>
    <x v="1"/>
  </r>
  <r>
    <s v="Mass Meter Deployment"/>
    <s v="Manage customer communication during deployment"/>
    <s v="Notify customers of installation schedules"/>
    <s v="Inform customers of upcoming installation dates and access requirements through preferred communication channels."/>
    <s v="Use Case 3 – Improve Customer Experience"/>
    <x v="0"/>
    <s v="N/A"/>
    <x v="0"/>
  </r>
  <r>
    <s v="Mass Meter Deployment"/>
    <s v="Coordinate installation and commissioning"/>
    <s v="Assign and execute installation work orders"/>
    <s v="Dispatch and complete meter installation work orders via MIV or contractor systems, updating all related records."/>
    <s v="Foundational – Not Mapped to SCE Use Case"/>
    <x v="0"/>
    <s v="N/A"/>
    <x v="1"/>
  </r>
  <r>
    <s v="Mass Meter Deployment"/>
    <s v="Coordinate installation and commissioning"/>
    <s v="Close MIV work orders and update dashboards"/>
    <s v="Record job completion, capture installer performance data, and synchronize updates across enterprise systems."/>
    <s v="Foundational – Not Mapped to SCE Use Case"/>
    <x v="0"/>
    <s v="N/A"/>
    <x v="0"/>
  </r>
  <r>
    <s v="Mass Meter Deployment"/>
    <s v="Manage returns and warranty"/>
    <s v="Manage refurbishment and end-of-life disposal"/>
    <s v="Oversee refurbishment or environmentally compliant disposal of obsolete meters devices removed by MIV."/>
    <s v="Foundational – Not Mapped to SCE Use Case"/>
    <x v="0"/>
    <s v="N/A"/>
    <x v="0"/>
  </r>
  <r>
    <s v="Mass Meter Deployment"/>
    <s v="Manage customer communication during deployment"/>
    <s v="Communicate completion and follow-up"/>
    <s v="Notify customers upon successful installation and provide usage education or contact information for support."/>
    <s v="Use Case 3 – Improve Customer Experience"/>
    <x v="0"/>
    <s v="N/A"/>
    <x v="0"/>
  </r>
  <r>
    <s v="Mass Meter Deployment"/>
    <s v="Manage field exceptions and issue resolution"/>
    <s v="Detect and categorize deployment exceptions"/>
    <s v="Identify and classify installation exceptions such as access issues, data mismatches, or device failures."/>
    <s v="Foundational – Not Mapped to SCE Use Case"/>
    <x v="0"/>
    <s v="N/A"/>
    <x v="1"/>
  </r>
  <r>
    <s v="Mass Meter Deployment"/>
    <s v="Manage MIV synchronization and file handling"/>
    <s v="Reconcile installation records between systems"/>
    <s v="Cross-check installation completion data between MIV, MDMS, and CIS for consistency."/>
    <s v="Foundational – Not Mapped to SCE Use Case"/>
    <x v="0"/>
    <s v="N/A"/>
    <x v="1"/>
  </r>
  <r>
    <s v="Meter Data Operations"/>
    <s v="Manage AMI data collection and validation"/>
    <s v="Ingest and validate interval and event data (HES)"/>
    <s v="Collect and validate usage, voltage, and event data from AMI head-end systems to ensure completeness and accuracy."/>
    <s v="Use Case 1 – Meter-to-Cash, Use Case 10 – Performance and Health of Distribution System Assets"/>
    <x v="2"/>
    <s v="In Release 1, validation rules focus on 15/60-minute kWh data for billing completeness. In Release 2, the scope expands to high-frequency Grid Management data (Voltage, Power Quality), which requires different validation logic (e.g., voltage limits vs. usage limits) not present in R1."/>
    <x v="1"/>
  </r>
  <r>
    <s v="Meter Data Operations"/>
    <s v="Manage AMI data collection and validation"/>
    <s v="Resolve data gaps and anomalies (HES)"/>
    <s v="Detect and correct missing or inconsistent AMI data to maintain billing and analytics integrity."/>
    <s v="Use Case 1 – Meter-to-Cash, Use Case 10 – Performance and Health of Distribution System Assets"/>
    <x v="2"/>
    <s v="Similar to above, resolving gaps in billing data (R1) is mandatory for revenue; resolving gaps in Grid data (R2) follows different business rules (e.g., interpolating voltage for planning vs. estimating usage for billing)."/>
    <x v="1"/>
  </r>
  <r>
    <s v="Meter Data Operations"/>
    <s v="Manage AMI data collection and validation"/>
    <s v="Store validated data in MDMS and analytics repositories"/>
    <s v="Persist cleansed and verified AMI data into MDMS and enterprise data platforms for consumption by downstream systems."/>
    <s v="Use Case 14 – AMI 2.0 Interoperability"/>
    <x v="0"/>
    <s v="N/A"/>
    <x v="1"/>
  </r>
  <r>
    <s v="Meter Data Operations"/>
    <s v="Manage AMI data collection and validation"/>
    <s v="Validate and estimate missing data (VEE)"/>
    <s v="Validate, estimate, or edit interval data where gaps or anomalies exist to ensure complete and accurate billing determinants."/>
    <s v="Use Case 1 – Meter-to-Cash"/>
    <x v="2"/>
    <s v="Release 1 VEE applies to Billing Determinants (Revenue). Release 2 introduces VEE for non-billing channels (e.g., Transformer Loading profiles), requiring a retouch to configure estimation rules for operational data."/>
    <x v="1"/>
  </r>
  <r>
    <s v="Meter Data Operations"/>
    <s v="Manage AMI data collection and validation"/>
    <s v="Resolve VEE Exceptions &amp; Complex Estimations"/>
    <s v="Manually investigate and resolve interval data exceptions that fail automated VEE rules, applying human judgment or forced estimates."/>
    <s v="Use Case 1 – Meter-to-Cash"/>
    <x v="2"/>
    <s v="The human workflow changes in Release 2. Analysts must now adjudicate data exceptions that impact Grid Operations (e.g., &quot;Is this voltage sag real?&quot;) rather than just billing accuracy."/>
    <x v="0"/>
  </r>
  <r>
    <s v="Meter Data Operations"/>
    <s v="Manage AMI data collection and validation"/>
    <s v="Detect unauthorized or unsafe usage"/>
    <s v="Identify meters drawing load post-disconnect and flag for investigation."/>
    <s v="Use Case 4 – Revenue Protection"/>
    <x v="2"/>
    <s v="Release 1 relies on deterministic flags (e.g., Reverse Rotation). Release 2 (with Permanent DI Hub/Analytics) introduces AI/ML-driven detection, requiring a retouch of the detection logic and investigation workflow."/>
    <x v="1"/>
  </r>
  <r>
    <s v="Customer Engagement &amp; Billing"/>
    <s v="Manage meter-to-cash operations"/>
    <s v="Calculate and validate interval-based bills"/>
    <s v="Calculate accurate customer bills using interval data and rate logic, ensuring alignment with AMI 2.0 data granularity and billing rules."/>
    <s v="Use Case 1 – Meter-to-Cash"/>
    <x v="0"/>
    <s v="N/A"/>
    <x v="1"/>
  </r>
  <r>
    <s v="Customer Engagement &amp; Billing"/>
    <s v="Manage complex billing arrangements"/>
    <s v="Manage Virtual Net Metering (VNM) Allocations"/>
    <s v="Configure and maintain allocation percentages between generating accounts and benefiting accounts to ensure accurate credit distribution."/>
    <s v="Use Case 1 – Meter-to-Cash_x000a_UC 2: Optimizing Energy Savings_x000a_UC 7: Long-Term Grid Planning"/>
    <x v="0"/>
    <s v="N/A"/>
    <x v="2"/>
  </r>
  <r>
    <s v="Customer Engagement &amp; Billing"/>
    <s v="Manage complex billing arrangements"/>
    <s v="Manage NEM Aggregation (NEM-A) Structures"/>
    <s v="Establish and maintain the linkage between a principal generating account and multiple aggregated usage accounts for unified billing settlement."/>
    <s v="Use Case 1 – Meter-to-Cash_x000a_UC 2: Optimizing Energy Savings_x000a_UC 7: Long-Term Grid Planning"/>
    <x v="0"/>
    <s v="N/A"/>
    <x v="2"/>
  </r>
  <r>
    <s v="Customer Engagement &amp; Billing"/>
    <s v="Manage meter-to-cash operations"/>
    <s v="Generate and distribute bill print and e-bills"/>
    <s v="Produce and issue customer bills through print and electronic delivery channels, ensuring timely distribution and compliance."/>
    <s v="Use Case 1 – Meter-to-Cash"/>
    <x v="0"/>
    <s v="N/A"/>
    <x v="0"/>
  </r>
  <r>
    <s v="Customer Engagement &amp; Billing"/>
    <s v="Manage meter-to-cash operations"/>
    <s v="Manage billing exceptions and rebills"/>
    <s v="Identify, investigate, and resolve billing errors or anomalies to maintain billing accuracy and customer trust."/>
    <s v="Use Case 1 – Meter-to-Cash"/>
    <x v="0"/>
    <s v="N/A"/>
    <x v="1"/>
  </r>
  <r>
    <s v="Customer Engagement &amp; Billing"/>
    <s v="Manage meter-to-cash operations"/>
    <s v="Cancel and rebill"/>
    <s v="Correct previously issued bills due to meter, data, or rate errors and reissue accurate versions."/>
    <s v="Use Case 1 – Meter-to-Cash"/>
    <x v="0"/>
    <s v="N/A"/>
    <x v="0"/>
  </r>
  <r>
    <s v="Customer Engagement &amp; Billing"/>
    <s v="Manage rate optimization and program enrollment"/>
    <s v="Model and recommend personalized rate plans"/>
    <s v="Analyze usage and behavioral data to recommend optimal rate structures or incentives for customers."/>
    <s v="Use Case 2 – Optimizing Energy Savings with Personalized Incentives"/>
    <x v="0"/>
    <s v="N/A"/>
    <x v="1"/>
  </r>
  <r>
    <s v="Customer Engagement &amp; Billing"/>
    <s v="Manage rate optimization and program enrollment"/>
    <s v="Simulate customer bill impacts"/>
    <s v="Estimate and communicate bill impacts of rate plan changes or program participation."/>
    <s v="Use Case 2 – Optimizing Energy Savings with Personalized Incentives"/>
    <x v="3"/>
    <s v="Release 1 simulations are static comparisons of rate plans. Release 3 introduces &quot;Customer-driven load management&quot; (BTM Control), requiring the simulation engine to account for dynamic utility interventions and demand response events."/>
    <x v="1"/>
  </r>
  <r>
    <s v="Customer Engagement &amp; Billing"/>
    <s v="Manage rate optimization and program enrollment"/>
    <s v="Manage Demand Response Event Settlement"/>
    <s v="Calculate baseline usage (CBL) and performance metrics for DR events to determine financial settlement/credits distinct from standard billing."/>
    <s v="Use Case 3- Improve Customer Experience"/>
    <x v="4"/>
    <s v="N/A"/>
    <x v="1"/>
  </r>
  <r>
    <s v="Customer Engagement &amp; Billing"/>
    <s v="Manage rate optimization and program enrollment"/>
    <s v="Manage EV Panel Capacity Limits"/>
    <s v="Configure panel capacity thresholds and safe-loading limits in the back-office system to enable &quot;Panel Upgrade Avoidance&quot; logic at the edge."/>
    <s v="UC 3: Improve Customer Experience_x000a_UC 7: Long-Term Grid Planning"/>
    <x v="4"/>
    <s v="N/A"/>
    <x v="2"/>
  </r>
  <r>
    <s v="Customer Engagement &amp; Billing"/>
    <s v="Manage revenue protection"/>
    <s v="Detect and flag potential theft or tampering"/>
    <s v="Analyze meter and consumption data to identify signs of tampering, diversion, or unauthorized usage."/>
    <s v="Use Case 4 – Revenue Protection"/>
    <x v="2"/>
    <s v="As confirmed, Release 1 is foundational/deterministic. Release 2 deploys the full Analytics Platform, necessitating a process retouch to incorporate AI/ML insights and advanced theft pattern recognition."/>
    <x v="1"/>
  </r>
  <r>
    <s v="Customer Engagement &amp; Billing"/>
    <s v="Manage revenue protection"/>
    <s v="Investigate and resolve revenue loss cases"/>
    <s v="Conduct data-driven and field investigations to confirm theft or loss and take corrective action."/>
    <s v="Use Case 4 – Revenue Protection"/>
    <x v="2"/>
    <s v="As confirmed, Release 1 is foundational/deterministic. Release 2 deploys the full Analytics Platform, necessitating a process retouch to incorporate AI/ML insights and advanced theft pattern recognition."/>
    <x v="1"/>
  </r>
  <r>
    <s v="Customer Engagement &amp; Billing"/>
    <s v="Manage revenue protection"/>
    <s v="Report revenue protection KPIs and trends"/>
    <s v="Track and report performance of theft detection and revenue recovery programs."/>
    <s v="Use Case 4 – Revenue Protection"/>
    <x v="2"/>
    <s v="As confirmed, Release 1 is foundational/deterministic. Release 2 deploys the full Analytics Platform, necessitating a process retouch to incorporate AI/ML insights and advanced theft pattern recognition."/>
    <x v="0"/>
  </r>
  <r>
    <s v="Customer Engagement &amp; Billing"/>
    <s v="Manage customer communications and experience"/>
    <s v="Provide personalized consumption insights"/>
    <s v="Deliver disaggregated energy insights and usage summaries to customers through digital channels."/>
    <s v="Use Case 3 – Improve Customer Experience"/>
    <x v="5"/>
    <s v="Release 2 introduces the Analytics Platform (required for disaggregation). Release 3 retouches this to include &quot;Actionable Insights&quot; derived from BTM control and load management programs."/>
    <x v="1"/>
  </r>
  <r>
    <s v="Customer Engagement &amp; Billing"/>
    <s v="Manage customer support and inquiries"/>
    <s v="Handle AMI-related customer inquiries"/>
    <s v="Respond to customer questions related to metering data, usage, and AMI benefits."/>
    <s v="Use Case 3 – Improve Customer Experience"/>
    <x v="0"/>
    <s v="N/A"/>
    <x v="0"/>
  </r>
  <r>
    <s v="Customer Engagement &amp; Billing"/>
    <s v="Manage customer support and inquiries"/>
    <s v="Escalate unresolved AMI cases and close tickets"/>
    <s v="Escalate unresolved cases to appropriate support tiers and ensure timely closure."/>
    <s v="Use Case 3 – Improve Customer Experience"/>
    <x v="0"/>
    <s v="N/A"/>
    <x v="0"/>
  </r>
  <r>
    <s v="Customer Engagement &amp; Billing"/>
    <s v="Manage customer support and inquiries"/>
    <s v="Resolve AMI billing data mismatches"/>
    <s v="Investigate and correct discrepancies between AMI interval data, MDMS values, and CIS billing determinants to ensure accurate billing before finalization."/>
    <s v="Use Case 1 – Meter-to-Cash_x000a_Use Case 3 – Improve Customer Experience"/>
    <x v="0"/>
    <s v="N/A"/>
    <x v="1"/>
  </r>
  <r>
    <s v="Customer Engagement &amp; Billing"/>
    <s v="Manage customer data access and transparency"/>
    <s v="Authenticate customer data requests (Green Button)"/>
    <s v="Verify credentials and authorization for customers and approved third parties requesting usage or generation data."/>
    <s v="Use Case 6 – 3rd Party Meter Data Access"/>
    <x v="4"/>
    <s v="N/A"/>
    <x v="1"/>
  </r>
  <r>
    <s v="Customer Engagement &amp; Billing"/>
    <s v="Manage customer data access and transparency"/>
    <s v="Provide secure consumption data and reports (Green Button)"/>
    <s v="Generate and deliver usage and generation reports through secure channels or APIs."/>
    <s v="Use Case 6 – 3rd Party Meter Data Access"/>
    <x v="4"/>
    <s v="N/A"/>
    <x v="1"/>
  </r>
  <r>
    <s v="Customer Engagement &amp; Billing"/>
    <s v="Manage customer data access and transparency"/>
    <s v="Monitor API usage and maintain audit logs (Green Button)"/>
    <s v="Track and log third-party API usage to ensure compliance and detect misuse."/>
    <s v="Use Case 6 – 3rd Party Meter Data Access"/>
    <x v="4"/>
    <s v="N/A"/>
    <x v="1"/>
  </r>
  <r>
    <s v="Customer Engagement &amp; Billing"/>
    <s v="Manage wholesale settlement"/>
    <s v="Aggregate and Transmit Wholesale Settlement Data"/>
    <s v="Aggregating validated interval data by load profile and jurisdiction to submit to the ISO/RTO for wholesale market settlement."/>
    <s v="Foundational – Not Mapped to SCE Use Case"/>
    <x v="1"/>
    <s v="N/A"/>
    <x v="2"/>
  </r>
  <r>
    <s v="Customer Engagement &amp; Billing"/>
    <s v="Manage wholesale settlement"/>
    <s v="Calculate Unaccounted for Energy (UFE)"/>
    <s v="Compare total substation/feeder energy inputs against aggregated meter consumption to identify system losses or measurement errors."/>
    <s v="Foundational – Not Mapped to SCE Use Case"/>
    <x v="1"/>
    <s v="N/A"/>
    <x v="1"/>
  </r>
  <r>
    <s v="Customer Engagement &amp; Billing"/>
    <s v="Manage opt-out and customer choice programs"/>
    <s v="Manage opt-out enrollment (pre-AMI deployment)"/>
    <s v="Record and manage customer opt-out decisions before meter deployment to ensure accurate scheduling and device configuration."/>
    <s v="Foundational – Not Mapped to SCE Use Case"/>
    <x v="0"/>
    <s v="N/A"/>
    <x v="0"/>
  </r>
  <r>
    <s v="Customer Engagement &amp; Billing"/>
    <s v="Manage opt-out and customer choice programs"/>
    <s v="Manage opt-out enrollment (post-AMI deployment)"/>
    <s v="Handle opt-out or re-enrollment requests after deployment, updating communication and billing settings accordingly."/>
    <s v="Foundational – Not Mapped to SCE Use Case"/>
    <x v="6"/>
    <s v="N/A"/>
    <x v="0"/>
  </r>
  <r>
    <s v="Customer Engagement &amp; Billing"/>
    <s v="Manage opt-out and customer choice programs"/>
    <s v="Disable AMI communications for opt-out customers"/>
    <s v="Remotely disable meter communications for customers who have opted out."/>
    <s v="Foundational – Not Mapped to SCE Use Case"/>
    <x v="0"/>
    <s v="N/A"/>
    <x v="1"/>
  </r>
  <r>
    <s v="Customer Engagement &amp; Billing"/>
    <s v="Manage opt-out and customer choice programs"/>
    <s v="Enable AMI communications for re-enrolled customers"/>
    <s v="Re-enable meter communications for customers who rejoin AMI programs after opting out."/>
    <s v="Foundational – Not Mapped to SCE Use Case"/>
    <x v="6"/>
    <s v="N/A"/>
    <x v="1"/>
  </r>
  <r>
    <s v="Customer Engagement &amp; Billing"/>
    <s v="Manage opt-out and customer choice programs"/>
    <s v="Process opt-out customer move-in / move-out events"/>
    <s v="Update enrollment and billing settings when opt-out customers move into or out of premises."/>
    <s v="Foundational – Not Mapped to SCE Use Case"/>
    <x v="0"/>
    <s v="N/A"/>
    <x v="1"/>
  </r>
  <r>
    <s v="Field Operations"/>
    <s v="Coordinate installation and commissioning"/>
    <s v="Perform provisioning and connectivity validation"/>
    <s v="Validate communication and registration of newly installed meters with the head-end and MDMS systems."/>
    <s v="Use Case 14 – AMI 2.0 Interoperability"/>
    <x v="2"/>
    <s v="In Release 1 (DI Hub Light), provisioning is likely basic (Meter + Comms). In Release 2 (Permanent DI Hub), the commissioning process must be retouched to include the verification of Edge Applications during the install (e.g., &quot;Did the EV app download successfully?&quot;)"/>
    <x v="1"/>
  </r>
  <r>
    <s v="Field Operations"/>
    <s v="Coordinate installation and commissioning"/>
    <s v="Perform commissioning and billing readiness checks"/>
    <s v="Confirm that newly installed meters are correctly provisioned, communicating, and fully validated in the MDMS so they are ready to generate billable usage."/>
    <s v="Use Case 14 – AMI 2.0 Interoperability"/>
    <x v="0"/>
    <s v="N/A"/>
    <x v="1"/>
  </r>
  <r>
    <s v="Field Operations"/>
    <s v="Manage network device lifecycle"/>
    <s v="Install and maintain network access points"/>
    <s v="Coordinate installation, maintenance, and retirement of network access points or routers supporting AMI communications."/>
    <s v="Use Case 14 – AMI 2.0 Interoperability"/>
    <x v="0"/>
    <s v="N/A"/>
    <x v="1"/>
  </r>
  <r>
    <s v="Field Operations"/>
    <s v="Manage network device lifecycle"/>
    <s v="Remove network access points and decommission interfaces"/>
    <s v="Remove obsolete or faulty network access points or routers and update network configuration."/>
    <s v="Foundational – Not Mapped to SCE Use Case"/>
    <x v="1"/>
    <s v="N/A"/>
    <x v="0"/>
  </r>
  <r>
    <s v="Field Operations"/>
    <s v="Coordinate installation and commissioning"/>
    <s v="Perform meter exchange and re-commissioning"/>
    <s v="Replace existing meters with AMI 2.0 devices and ensure proper deregistration, provisioning, and validation of new assets."/>
    <s v="Foundational – Not Mapped to SCE Use Case"/>
    <x v="2"/>
    <s v="Same logic as commissioning. Replacing a meter in Release 2 requires ensuring the new asset is provisioned on the Permanent DI Hub, which is a different backend step than Release 1."/>
    <x v="1"/>
  </r>
  <r>
    <s v="Field Operations"/>
    <s v="Manage meter field operations"/>
    <s v="Perform steady-state meter installation"/>
    <s v="Execute meter installations as part of new service connections or replacements outside of mass deployment."/>
    <s v="Foundational – Not Mapped to SCE Use Case"/>
    <x v="0"/>
    <s v="N/A"/>
    <x v="1"/>
  </r>
  <r>
    <s v="Field Operations"/>
    <s v="Manage meter field operations"/>
    <s v="Perform meter exchange and commissioning"/>
    <s v="Replace and commission meters for maintenance, testing, or upgrade purposes ensuring communication and billing readiness."/>
    <s v="Foundational – Not Mapped to SCE Use Case"/>
    <x v="2"/>
    <s v="Same logic as commissioning. Replacing a meter in Release 2 requires ensuring the new asset is provisioned on the Permanent DI Hub, which is a different backend step than Release 1."/>
    <x v="1"/>
  </r>
  <r>
    <s v="Field Operations"/>
    <s v="Manage meter field operations"/>
    <s v="Perform meter removal and decommissioning"/>
    <s v="Remove meters from service, ensure final reads, and update all related systems."/>
    <s v="Foundational – Not Mapped to SCE Use Case"/>
    <x v="0"/>
    <s v="N/A"/>
    <x v="1"/>
  </r>
  <r>
    <s v="Field Operations"/>
    <s v="Manage meter field operations"/>
    <s v="Conduct meter investigations"/>
    <s v="Dispatch field investigations for customer complaints, abnormal reads, or communication failures."/>
    <s v="Use Case 4 – Revenue Protection, Use Case 10 – Performance and Health of Distribution System Assets"/>
    <x v="0"/>
    <s v="N/A"/>
    <x v="1"/>
  </r>
  <r>
    <s v="Field Operations"/>
    <s v="Manage remote disconnect and reconnect"/>
    <s v="Perform remote disconnect / reconnect for move-out or move-in"/>
    <s v="Execute and validate remote meter disconnect or reconnect commands in coordination with CIS and MDMS."/>
    <s v="Foundational – Not Mapped to SCE Use Case"/>
    <x v="0"/>
    <s v="N/A"/>
    <x v="1"/>
  </r>
  <r>
    <s v="Field Operations"/>
    <s v="Manage remote connect/disconnect operations"/>
    <s v="Perform remote disconnect for non-payment"/>
    <s v="Execute remote disconnect commands for delinquent accounts following compliance and notification procedures."/>
    <s v="Foundational – Not Mapped to SCE Use Case"/>
    <x v="0"/>
    <s v="N/A"/>
    <x v="1"/>
  </r>
  <r>
    <s v="Field Operations"/>
    <s v="Manage remote connect/disconnect operations"/>
    <s v="Perform remote reconnect after payment"/>
    <s v="Validate payment, execute remote reconnect command, and verify service restoration."/>
    <s v="Foundational – Not Mapped to SCE Use Case"/>
    <x v="0"/>
    <s v="N/A"/>
    <x v="1"/>
  </r>
  <r>
    <s v="Field Operations"/>
    <s v="Manage remote connect/disconnect operations"/>
    <s v="Perform remote disconnect / reconnect for move-in or move-out"/>
    <s v="Execute remote meter operations for customer occupancy changes in coordination with CIS."/>
    <s v="Foundational – Not Mapped to SCE Use Case"/>
    <x v="0"/>
    <s v="N/A"/>
    <x v="1"/>
  </r>
  <r>
    <s v="Grid &amp; Outage Management"/>
    <s v="Detect and locate outages"/>
    <s v="Detect and validate outage events via AMI telemetry"/>
    <s v="Identify outages from AMI last-gasp signals, validate through multiple data sources, and flag confirmed events."/>
    <s v="Use Case 5 – Advanced Outage Identification and Location Awareness"/>
    <x v="1"/>
    <s v="N/A"/>
    <x v="1"/>
  </r>
  <r>
    <s v="Grid &amp; Outage Management"/>
    <s v="Detect and locate outages"/>
    <s v="Cluster and prioritize outage events for dispatch"/>
    <s v="Group and prioritize outages by severity, location, and customer impact to optimize restoration resources."/>
    <s v="Use Case 5 – Advanced Outage Identification and Location Awareness"/>
    <x v="1"/>
    <s v="N/A"/>
    <x v="1"/>
  </r>
  <r>
    <s v="Grid &amp; Outage Management"/>
    <s v="Detect and locate outages"/>
    <s v="Coordinate field and customer service alignment during outages"/>
    <s v="Ensure consistent information between field operations and call centers regarding outage status and restoration progress."/>
    <s v="Use Case 5 – Advanced Outage Identification and Location Awareness"/>
    <x v="1"/>
    <s v="N/A"/>
    <x v="1"/>
  </r>
  <r>
    <s v="Grid &amp; Outage Management"/>
    <s v="Detect and locate outages"/>
    <s v="Verify restoration and update OMS"/>
    <s v="Confirm restoration events by validating power status with AMI telemetry and update OMS and customer communication systems with authoritative restoration status."/>
    <s v="Use Case 5 – Advanced Outage Identification and Location Awareness"/>
    <x v="5"/>
    <s v="Release 2 establishes standard restoration verification. Release 3 introduces &quot;Controlled Switching/Restoration,&quot; which requires a more complex, staged verification workflow involving BTM loads."/>
    <x v="1"/>
  </r>
  <r>
    <s v="Grid &amp; Outage Management"/>
    <s v="Manage outage communications"/>
    <s v="Deliver outage and restoration notifications to customers"/>
    <s v="Send real-time outage and restoration status updates to impacted customers through preferred communication channels."/>
    <s v="Use Case 3 – Improve Customer Experience, Use Case 5 – Advanced Outage Identification and Location Awareness"/>
    <x v="5"/>
    <s v="Release 2 covers standard outage comms. Release 3 retouches this to include notifications related to &quot;Customer-driven load management&quot; (e.g., specific load shedding events)."/>
    <x v="1"/>
  </r>
  <r>
    <s v="Grid &amp; Outage Management"/>
    <s v="Manage outage testing and diagnostics"/>
    <s v="Ping meters for outage verification"/>
    <s v="Perform targeted AMI pings to assess outage boundaries or diagnose partial restoration conditions without triggering formal OMS restoration updates."/>
    <s v="Use Case 5 – Advanced Outage Identification and Location Awareness"/>
    <x v="1"/>
    <s v="N/A"/>
    <x v="0"/>
  </r>
  <r>
    <s v="Grid &amp; Outage Management"/>
    <s v="Monitor feeder and transformer loading"/>
    <s v="Aggregate and monitor feeder and transformer loads"/>
    <s v="Collect and analyze feeder and transformer load data to detect overloads or unbalanced conditions."/>
    <s v="Use Case 10 – Performance and Health of Distribution System Assets"/>
    <x v="2"/>
    <s v="Release 1 provides basic aggregation for visibility. Release 2 (Analytics) adds predictive health scoring and thermal analysis, requiring a process update."/>
    <x v="2"/>
  </r>
  <r>
    <s v="Grid &amp; Outage Management"/>
    <s v="Monitor feeder and transformer loading"/>
    <s v="Trigger corrective switching actions"/>
    <s v="Initiate manual or automated switching actions to balance loads or prevent overloads. Focuses on preventive or load-balancing switching—before a fault or outage occurs. Driven by feeder or transformer load monitoring."/>
    <s v="Use Case 12 – Switching Support, Outage Selection, and Controlled Restoration"/>
    <x v="4"/>
    <s v="N/A"/>
    <x v="2"/>
  </r>
  <r>
    <s v="Grid &amp; Outage Management"/>
    <s v="Perform controlled switching and restoration"/>
    <s v="Execute validated switching commands"/>
    <s v="Perform operator-approved switching and restoration commands to safely restore service. Focuses on reactive switching to restore power after an outage or network event. Actions are operator-initiated and validated before execution."/>
    <s v="Use Case 12 – Switching Support, Outage Selection, and Controlled Restoration"/>
    <x v="4"/>
    <s v="N/A"/>
    <x v="2"/>
  </r>
  <r>
    <s v="Grid &amp; Outage Management"/>
    <s v="Perform controlled switching and restoration"/>
    <s v="Monitor and verify controlled restoration sequence"/>
    <s v="Validate staged restoration progress using AMI telemetry and update system status in OMS. Focuses on post-switching verification—ensuring restoration proceeded as planned and customers are re-energized safely. Uses AMI telemetry to confirm."/>
    <s v="Use Case 12 – Switching Support, Outage Selection, and Controlled Restoration"/>
    <x v="4"/>
    <s v="N/A"/>
    <x v="2"/>
  </r>
  <r>
    <s v="Grid &amp; Outage Management"/>
    <s v="Detect voltage and power quality issues"/>
    <s v="Analyze voltage, frequency, and harmonic data"/>
    <s v="Monitor voltage, frequency, and harmonics from AMI data to identify power quality deviations."/>
    <s v="Use Case 10 – Performance and Health of Distribution System Assets"/>
    <x v="2"/>
    <s v="Release 1 is monitoring/reporting. Release 2 retouches this to include closed-loop control (Triggering regulator adjustments) via the enhanced grid management systems."/>
    <x v="1"/>
  </r>
  <r>
    <s v="Grid &amp; Outage Management"/>
    <s v="Detect voltage and power quality issues"/>
    <s v="Classify and report power quality anomalies"/>
    <s v="Categorize power quality events (sags, swells, harmonics) and report them to grid operations for resolution."/>
    <s v="Use Case 10 – Performance and Health of Distribution System Assets"/>
    <x v="2"/>
    <s v="Release 1 is monitoring/reporting. Release 2 retouches this to include closed-loop control (Triggering regulator adjustments) via the enhanced grid management systems."/>
    <x v="1"/>
  </r>
  <r>
    <s v="Grid &amp; Outage Management"/>
    <s v="Detect voltage and power quality issues"/>
    <s v="Trigger voltage regulator or capacitor adjustments"/>
    <s v="Recommend or automatically trigger voltage regulation adjustments based on AMI measurements."/>
    <s v="Use Case 10 – Performance and Health of Distribution System Assets"/>
    <x v="5"/>
    <s v="I n Release 2, the system enables Grid Management analytics. The process here is likely &quot;Open Loop&quot;—the system analyzes the data and recommends an adjustment to an operator. Release 3 (Control/BTM): Release 3 focuses on &quot;Customer-driven load management&quot; and &quot;Behind-the-Meter control.&quot; The process must be retouched to account for Closed Loop automation (where the system acts automatically) and to integrate the impact of Distributed Energy Resources (DERs) into the regulation logic."/>
    <x v="2"/>
  </r>
  <r>
    <s v="Grid &amp; Outage Management"/>
    <s v="Detect and manage safety hazards"/>
    <s v="Detect and Respond to Hot Socket Alarms"/>
    <s v="Monitor real-time temperature alarms from meters, validate &quot;Hot Socket&quot; conditions, and trigger immediate safety disconnects or field dispatches."/>
    <s v="UC 8: Anomaly &amp; Fault Detection BTM_x000a_UC 5: Advanced Outage Identification"/>
    <x v="2"/>
    <s v="Release 1 uses basic alarms. Release 2 applies advanced analytics (impedance monitoring) to filter false positives, changing the &quot;Respond&quot; workflow."/>
    <x v="1"/>
  </r>
  <r>
    <s v="Grid &amp; Outage Management"/>
    <s v="Detect and manage safety hazards"/>
    <s v="Identify and Resolve Neutral Connection Issues"/>
    <s v="Analyze voltage and impedance data to detect &quot;Loose Neutral&quot; conditions and prioritize field investigation to prevent equipment damage."/>
    <s v="UC 8: Anomaly &amp; Fault Detection BTM_x000a_UC 10: Performance &amp; Health of Dist. System"/>
    <x v="1"/>
    <s v="N/A"/>
    <x v="1"/>
  </r>
  <r>
    <s v="Grid &amp; Outage Management"/>
    <s v="Detect and analyze behind-the-meter events"/>
    <s v="Identify and classify EV charging signatures"/>
    <s v="Detect load patterns associated with EV charging to enhance load forecasting and grid planning."/>
    <s v="Use Case 18 – Grid Ops: Situational Awareness"/>
    <x v="4"/>
    <s v="N/A"/>
    <x v="2"/>
  </r>
  <r>
    <s v="Grid &amp; Outage Management"/>
    <s v="Detect and analyze behind-the-meter events"/>
    <s v="Detect rooftop solar and battery generation"/>
    <s v="Identify customer-installed DER generation events using AMI interval and harmonic data."/>
    <s v="Use Case 18 – Grid Ops: Situational Awareness"/>
    <x v="4"/>
    <s v="N/A"/>
    <x v="2"/>
  </r>
  <r>
    <s v="Grid &amp; Outage Management"/>
    <s v="Detect and analyze behind-the-meter events"/>
    <s v="Detect Unapproved DER Interconnection"/>
    <s v="Compare detected generation signatures against known interconnection records to identify unauthorized solar or storage back-feeding."/>
    <s v="UC 8: Anomaly &amp; Fault Detection BTM_x000a_UC 4: Revenue Protection"/>
    <x v="1"/>
    <s v="N/A"/>
    <x v="1"/>
  </r>
  <r>
    <s v="Grid &amp; Outage Management"/>
    <s v="Detect and analyze behind-the-meter events"/>
    <s v="Correlate load changes with customer profiles"/>
    <s v="Analyze BTM load data with customer profiles to refine forecasting and anomaly detection."/>
    <s v="Use Case 7 – Long-Term Grid Planning"/>
    <x v="4"/>
    <s v="N/A"/>
    <x v="2"/>
  </r>
  <r>
    <s v="Grid &amp; Outage Management"/>
    <s v="Manage connectivity and topology"/>
    <s v="Map meter-to-transformer connectivity"/>
    <s v="Establish and maintain accurate meter-to-transformer connectivity models for grid visibility."/>
    <s v="Use Case 11 – Distribution Connectivity Model &amp; Monitoring"/>
    <x v="1"/>
    <s v="N/A"/>
    <x v="1"/>
  </r>
  <r>
    <s v="Grid &amp; Outage Management"/>
    <s v="Manage connectivity and topology"/>
    <s v="Monitor and validate connectivity model accuracy"/>
    <s v="Continuously verify connectivity accuracy using AMI and GIS data feedback."/>
    <s v="Use Case 11 – Distribution Connectivity Model &amp; Monitoring"/>
    <x v="5"/>
    <s v="Release 2 (Discovery): This release establishes the &quot;Improved network topology model&quot; using AMI data to find static errors (e.g., &quot;Meter A is actually on Phase B&quot;). Release 3 (Forensic Feedback): Release 3 enables Use Case 13 (Post Event Analysis). The process must be retouched to create a feedback loop where Outage Root Cause Analysis is used to permanently validate and correct the connectivity model (e.g., &quot;We confirmed the phase during the outage restoration, now update the model&quot;)."/>
    <x v="1"/>
  </r>
  <r>
    <s v="Grid &amp; Outage Management"/>
    <s v="Manage connectivity and topology"/>
    <s v="Reconcile Phase and Transformer Mapping"/>
    <s v="Operationalize &quot;Distribution Connectivity&quot; analytics to formally update GIS/Connectivity models when analytic deviations are confirmed."/>
    <s v="Use Case 11 – Distribution Connectivity Model &amp; Monitoring"/>
    <x v="1"/>
    <s v="N/A"/>
    <x v="1"/>
  </r>
  <r>
    <s v="Grid &amp; Outage Management"/>
    <s v="Manage connectivity and topology"/>
    <s v="Integrate connectivity model with outage and DER tools"/>
    <s v="Provide real-time connectivity data to outage and DER planning applications for situational awareness."/>
    <s v="Use Case 11 – Distribution Connectivity Model &amp; Monitoring"/>
    <x v="1"/>
    <s v="N/A"/>
    <x v="2"/>
  </r>
  <r>
    <s v="Grid &amp; Outage Management"/>
    <s v="Perform grid fault and incipient failure detection"/>
    <s v="Detect incipient faults in distribution components"/>
    <s v="Identify early failure indicators in transformers, capacitors, or cables using AMI power quality data."/>
    <s v="Use Case 15 – Fault &amp; Incipient Fault Identification on the Distribution System"/>
    <x v="5"/>
    <s v="Release 2 (Detection): The &quot;Permanent DI Hub&quot; and analytics deployed in Release 2 provide the capability to detect the signatures of failing equipment (e.g., a dying transformer). Release 3 (Tuning): To support Use Case 13 (Post Event Analysis), the detection algorithms must be retouched to incorporate &quot;Ground Truth&quot; data from actual failures. The process shifts from &quot;Detecting&quot; to &quot;Tuning the Model based on Forensic Evidence.&quot;"/>
    <x v="1"/>
  </r>
  <r>
    <s v="Grid &amp; Outage Management"/>
    <s v="Perform grid fault and incipient failure detection"/>
    <s v="Correlate AMI data with other sensor inputs"/>
    <s v="Integrate AMI-derived fault indicators with SCADA or IoT sensors for improved fault localization."/>
    <s v="Use Case 15 – Fault &amp; Incipient Fault Identification on the Distribution System"/>
    <x v="1"/>
    <s v="N/A"/>
    <x v="1"/>
  </r>
  <r>
    <s v="Grid &amp; Outage Management"/>
    <s v="Perform grid fault and incipient failure detection"/>
    <s v="Prioritize maintenance for at-risk assets"/>
    <s v="Generate maintenance recommendations for assets showing early fault conditions."/>
    <s v="Use Case 15 – Fault &amp; Incipient Fault Identification on the Distribution System, Use Case 10 – Performance and Health of Distribution System Assets"/>
    <x v="5"/>
    <s v="Release 2 (Operational): Prioritization is based on the immediate health scores generated by the Release 2 analytics. Release 3 (Strategic): Release 3 enables Use Case 7 (Long-Term Grid Planning). The prioritization process must be retouched to align asset health data with long-term capital planning and load forecasting models, moving from &quot;Fix it now&quot; to &quot;Plan the replacement.&quot;"/>
    <x v="1"/>
  </r>
  <r>
    <s v="Grid &amp; Outage Management"/>
    <s v="Perform event analysis and root-cause investigation"/>
    <s v="Analyze waveform signatures"/>
    <s v="Request and analyze high-resolution waveform captures (pre/post event) to determine the specific electrical signature of complex faults."/>
    <s v="_x000a_UC 10: Performance &amp; Health of Dist. System_x000a_UC 13: Post Event Analysis"/>
    <x v="5"/>
    <s v="Release 2 (Real-time/Safety): Waveforms are used here primarily for Use Case 10 (Performance &amp; Health) and Safety (e.g., detecting a live wire). The analysis is focused on immediate operational status. Release 3 (Forensic): This enables Use Case 13 (Post Event Analysis). The process changes fundamentally from &quot;Real-time assessment&quot; to &quot;Retrospective Forensic Analysis&quot; to determine why a fault occurred, often requiring deeper, offline analysis of the same waveform data."/>
    <x v="2"/>
  </r>
  <r>
    <s v="Grid &amp; Outage Management"/>
    <s v="Perform event analysis and root-cause investigation"/>
    <s v="Reconstruct outage and restoration sequences"/>
    <s v="Analyze AMI, OMS, and SCADA data to reconstruct outage events and restoration timelines."/>
    <s v="Use Case 13 – Post Event Analysis"/>
    <x v="4"/>
    <s v="N/A"/>
    <x v="1"/>
  </r>
  <r>
    <s v="Grid &amp; Outage Management"/>
    <s v="Perform event analysis and root-cause investigation"/>
    <s v="Identify root causes of faults or outages"/>
    <s v="Determine likely causes of outages or power quality events through data correlation and analytics."/>
    <s v="Use Case 13 – Post Event Analysis"/>
    <x v="4"/>
    <s v="N/A"/>
    <x v="1"/>
  </r>
  <r>
    <s v="Grid &amp; Outage Management"/>
    <s v="Perform event analysis and root-cause investigation"/>
    <s v="Document and close event investigations"/>
    <s v="Record findings, corrective actions, and lessons learned from outage investigations."/>
    <s v="Use Case 13 – Post Event Analysis"/>
    <x v="4"/>
    <s v="N/A"/>
    <x v="0"/>
  </r>
  <r>
    <s v="Grid &amp; Outage Management"/>
    <s v="Monitor environmental conditions"/>
    <s v="Monitor Environmental Sensor Telemetry"/>
    <s v="Collect and monitor non-electrical telemetry (e.g., ambient temperature, seismic activity, air quality) from capable AMI devices to support grid planning and public safety initiatives."/>
    <s v="Use Case 9 – Environmental Monitoring"/>
    <x v="1"/>
    <s v="N/A"/>
    <x v="0"/>
  </r>
  <r>
    <s v="Meter Operations &amp; Diagnostics"/>
    <s v="Manage device OS firmware and configuration"/>
    <s v="Plan and schedule firmware upgrades"/>
    <s v="Schedule and execute firmware updates to maintain meter and network device compliance and functionality."/>
    <s v="Use Case 14 – AMI 2.0 Interoperability"/>
    <x v="0"/>
    <s v="N/A"/>
    <x v="1"/>
  </r>
  <r>
    <s v="Meter Operations &amp; Diagnostics"/>
    <s v="Manage device OS firmware and configuration"/>
    <s v="Validate firmware deployment success"/>
    <s v="Verify successful firmware deployment and device connectivity following updates."/>
    <s v="Use Case 14 – AMI 2.0 Interoperability"/>
    <x v="0"/>
    <s v="N/A"/>
    <x v="1"/>
  </r>
  <r>
    <s v="Meter Operations &amp; Diagnostics"/>
    <s v="Manage meter quality and compliance"/>
    <s v="Manage Device Security Certificates Lifecycle"/>
    <s v="Track the expiration and renewal of device security certificates (LDevID) to ensure no asset becomes orphaned due to credential expiry."/>
    <s v="UC 14: AMI 2.0 Interoperability_x000a_UC 4: Revenue Protection"/>
    <x v="0"/>
    <s v="N/A"/>
    <x v="1"/>
  </r>
  <r>
    <s v="Meter Operations &amp; Diagnostics"/>
    <s v="Manage meter operations commands"/>
    <s v="Execute on-demand reads or pings"/>
    <s v="Perform real-time meter read or ping commands to verify meter connectivity or resolve exceptions."/>
    <s v="Foundational – Not Mapped to SCE Use Case"/>
    <x v="0"/>
    <s v="N/A"/>
    <x v="0"/>
  </r>
  <r>
    <s v="Meter Operations &amp; Diagnostics"/>
    <s v="Manage meter operations commands"/>
    <s v="Send test or diagnostic commands"/>
    <s v="Send diagnostic commands to validate meter health or confirm firmware behavior."/>
    <s v="Use Case 14 – AMI 2.0 Interoperability"/>
    <x v="0"/>
    <s v="N/A"/>
    <x v="0"/>
  </r>
  <r>
    <s v="Meter Operations &amp; Diagnostics"/>
    <s v="Manage meter operations commands"/>
    <s v="Track device reliability and communication performance"/>
    <s v="Monitor meter reliability, communication stability, and recurring issue patterns."/>
    <s v="Use Case 14 – AMI 2.0 Interoperability"/>
    <x v="2"/>
    <s v="Release 1 tracks basic comms rates (Read Success). Release 2 retouches this to track Edge Compute Health (CPU/RAM usage on the meter), which is required for the Permanent DI Hub."/>
    <x v="1"/>
  </r>
  <r>
    <s v="Meter Operations &amp; Diagnostics"/>
    <s v="Manage edge and distributed intelligence"/>
    <s v="Configure Distributed Intelligence (DI) Application Logic"/>
    <s v="Define and tune business parameters for edge applications (e.g., EV detection sensitivity, waveform capture triggers) to align with grid operation goals."/>
    <s v="Use Case 14 – AMI 2.0 Interoperability"/>
    <x v="2"/>
    <s v="The migration from DI Hub Light (R1.2) to Permanent DI Hub (R2) necessitates a complete redesign of how apps are configured, deployed, and managed."/>
    <x v="2"/>
  </r>
  <r>
    <s v="Meter Operations &amp; Diagnostics"/>
    <s v="Manage edge and distributed intelligence"/>
    <s v="Monitor Edge Application Runtime Performance"/>
    <s v="Monitor the operational health, resource consumption (CPU/Memory), and data latency of specific edge applications to ensure they are running effectively on the meter."/>
    <s v="Use Case 14 – AMI 2.0 Interoperability"/>
    <x v="2"/>
    <s v="The migration from DI Hub Light (R1.2) to Permanent DI Hub (R2) necessitates a complete redesign of how apps are configured, deployed, and managed."/>
    <x v="1"/>
  </r>
  <r>
    <s v="Meter Operations &amp; Diagnostics"/>
    <s v="Manage edge and distributed intelligence"/>
    <s v="Manage Edge AI Model &amp; App Lifecycle"/>
    <s v="Coordinate the versioning, testing, and deployment of updated AI models and application binaries (e.g., new appliance signatures) independent of base meter firmware."/>
    <s v="Use Case 14 – AMI 2.0 Interoperability"/>
    <x v="2"/>
    <s v="The migration from DI Hub Light (R1.2) to Permanent DI Hub (R2) necessitates a complete redesign of how apps are configured, deployed, and managed."/>
    <x v="1"/>
  </r>
  <r>
    <s v="Data &amp; Analytics Platform Management"/>
    <s v="Manage third-party data exchange"/>
    <s v="Authenticate and authorize third-party data requests"/>
    <s v="Verify credentials and enforce access permissions for third-party data consumers."/>
    <s v="Use Case 6 – 3rd Party Meter Data Access"/>
    <x v="4"/>
    <s v="N/A"/>
    <x v="2"/>
  </r>
  <r>
    <s v="Data &amp; Analytics Platform Management"/>
    <s v="Manage third-party data exchange"/>
    <s v="Transmit datasets securely to authorized third parties"/>
    <s v="Transfer AMI datasets through secure API channels in compliance with privacy and cybersecurity standards."/>
    <s v="Use Case 6 – 3rd Party Meter Data Access"/>
    <x v="4"/>
    <s v="N/A"/>
    <x v="2"/>
  </r>
  <r>
    <s v="Data &amp; Analytics Platform Management"/>
    <s v="Manage third-party data exchange"/>
    <s v="Monitor API usage and maintain audit logs (Third Party)"/>
    <s v="Track and log third-party API usage to ensure compliance and detect misuse."/>
    <s v="Use Case 6 – 3rd Party Meter Data Access"/>
    <x v="4"/>
    <s v="N/A"/>
    <x v="1"/>
  </r>
  <r>
    <s v="Data &amp; Analytics Platform Management"/>
    <s v="Manage enterprise data platform"/>
    <s v="Coordinate AMI data integration with enterprise data lake"/>
    <s v="Transfer validated AMI datasets to the enterprise data lake for use in analytics and data science."/>
    <s v="Foundational – Not Mapped to SCE Use Case"/>
    <x v="7"/>
    <s v="The data payload expands significantly. Release 1 = Billing Data. Release 2 = PQ/Waveforms. Release 3 = BTM/Control Data. The integration process must be retouched to handle these new schemas."/>
    <x v="1"/>
  </r>
  <r>
    <s v="Data &amp; Analytics Platform Management"/>
    <s v="Manage interoperability and event correlation"/>
    <s v="Capture and correlate operational events across AMI, OMS, and CIS"/>
    <s v="Correlate operational events to identify cross-domain dependencies and performance insights."/>
    <s v="Use Case 13 – Post Event Analysis, Use Case 14 – AMI 2.0 Interoperability"/>
    <x v="4"/>
    <s v="N/A"/>
    <x v="2"/>
  </r>
  <r>
    <s v="Data &amp; Analytics Platform Management"/>
    <s v="Manage interoperability and event correlation"/>
    <s v="Analyze AMI event notifications"/>
    <s v="Examine AMI-generated events (alarms, last-gasp, reconnects) to derive actionable insights."/>
    <s v="Use Case 13 – Post Event Analysis, Use Case 5 – Advanced Outage Identification and Location Awareness"/>
    <x v="3"/>
    <s v="Release 1 handles basic alarms. Release 3 (Post Event Analysis) requires correlating these events with SCADA/OMS data for complex root cause analysis."/>
    <x v="1"/>
  </r>
  <r>
    <s v="Data &amp; Analytics Platform Management"/>
    <s v="Manage data security and privacy"/>
    <s v="Implement role-based access control and encryption"/>
    <s v="Enforce access control and data encryption to secure AMI data at rest and in transit."/>
    <s v="Foundational – Not Mapped to SCE Use Case"/>
    <x v="7"/>
    <s v="Release 1 secures the utility data. Release 3 opens up 3rd Party Access (Green Button) and Control Commands, requiring a retouch to implement finer-grained, role-based security and external authentication."/>
    <x v="1"/>
  </r>
  <r>
    <s v="Data &amp; Analytics Platform Management"/>
    <s v="Manage edge and distributed intelligence"/>
    <s v="Maintain Operational Device Segments &amp; Groups"/>
    <s v="Define and maintain the business logic for meter groups (e.g., &quot;Fire Risk Zones,&quot; &quot;EV Users&quot;) used to target firmware, configurations, and commands."/>
    <s v="UC 14: AMI 2.0 Interoperability_x000a_UC 3: Improve Customer Experience"/>
    <x v="2"/>
    <s v="Release 1 (DI Hub Light): You are managing groups on a &quot;Light&quot; platform, likely limited to basic firmware or billing groups. Release 2 (Permanent DI Hub): The entire underlying platform changes to the &quot;Permanent DI Hub.&quot; The process of creating and managing groups must be redesigned (retouched) to accommodate the complex, dynamic grouping logic required for the new Edge Apps (e.g., grouping by &quot;Solar Inverter Type&quot; or &quot;Transformer Loading Zone&quot;)."/>
    <x v="1"/>
  </r>
  <r>
    <s v="Data &amp; Analytics Platform Management"/>
    <s v="Manage reporting and visualization"/>
    <s v="Design and maintain AMI dashboards"/>
    <s v="Create and maintain dashboards to visualize AMI performance, reliability, and customer insights."/>
    <s v="Use Case 13 – Post Event Analysis, Use Case 18 – Grid Ops: Situational Awareness"/>
    <x v="4"/>
    <s v="N/A"/>
    <x v="1"/>
  </r>
  <r>
    <s v="Data &amp; Analytics Platform Management"/>
    <s v="Manage reporting and visualization"/>
    <s v="Automate recurring reports and analytics"/>
    <s v="Automate generation and distribution of recurring performance and compliance reports."/>
    <s v="Use Case 13 – Post Event Analysis"/>
    <x v="4"/>
    <s v="N/A"/>
    <x v="1"/>
  </r>
  <r>
    <s v="Data &amp; Analytics Platform Management"/>
    <s v="Manage interoperability and event correlation"/>
    <s v="Identify cross-system anomalies"/>
    <s v="Detect inconsistencies between AMI, OMS, and SCADA data to enhance reliability."/>
    <s v="Use Case 13 – Post Event Analysis, Use Case 15 – Fault &amp; Incipient Fault Identification on the Distribution System"/>
    <x v="4"/>
    <s v="N/A"/>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04B815-EE93-42D8-99B0-F1787BEB7F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7">
    <pivotField showAll="0"/>
    <pivotField showAll="0"/>
    <pivotField showAll="0"/>
    <pivotField showAll="0"/>
    <pivotField showAll="0"/>
    <pivotField axis="axisRow" dataField="1" showAll="0">
      <items count="8">
        <item x="0"/>
        <item x="6"/>
        <item x="1"/>
        <item x="2"/>
        <item x="3"/>
        <item x="4"/>
        <item x="5"/>
        <item t="default"/>
      </items>
    </pivotField>
    <pivotField showAll="0"/>
  </pivotFields>
  <rowFields count="1">
    <field x="5"/>
  </rowFields>
  <rowItems count="8">
    <i>
      <x/>
    </i>
    <i>
      <x v="1"/>
    </i>
    <i>
      <x v="2"/>
    </i>
    <i>
      <x v="3"/>
    </i>
    <i>
      <x v="4"/>
    </i>
    <i>
      <x v="5"/>
    </i>
    <i>
      <x v="6"/>
    </i>
    <i t="grand">
      <x/>
    </i>
  </rowItems>
  <colItems count="1">
    <i/>
  </colItems>
  <dataFields count="1">
    <dataField name="Count of IT Releas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0CEA4-0A07-413F-814B-AD8424C6B96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E48" firstHeaderRow="1" firstDataRow="2" firstDataCol="1"/>
  <pivotFields count="8">
    <pivotField showAll="0"/>
    <pivotField showAll="0"/>
    <pivotField dataField="1" showAll="0"/>
    <pivotField showAll="0"/>
    <pivotField showAll="0"/>
    <pivotField axis="axisRow" showAll="0">
      <items count="9">
        <item x="0"/>
        <item x="6"/>
        <item x="2"/>
        <item x="3"/>
        <item x="1"/>
        <item x="5"/>
        <item x="4"/>
        <item x="7"/>
        <item t="default"/>
      </items>
    </pivotField>
    <pivotField showAll="0"/>
    <pivotField axis="axisCol" showAll="0">
      <items count="5">
        <item x="2"/>
        <item x="1"/>
        <item x="0"/>
        <item m="1" x="3"/>
        <item t="default"/>
      </items>
    </pivotField>
  </pivotFields>
  <rowFields count="1">
    <field x="5"/>
  </rowFields>
  <rowItems count="9">
    <i>
      <x/>
    </i>
    <i>
      <x v="1"/>
    </i>
    <i>
      <x v="2"/>
    </i>
    <i>
      <x v="3"/>
    </i>
    <i>
      <x v="4"/>
    </i>
    <i>
      <x v="5"/>
    </i>
    <i>
      <x v="6"/>
    </i>
    <i>
      <x v="7"/>
    </i>
    <i t="grand">
      <x/>
    </i>
  </rowItems>
  <colFields count="1">
    <field x="7"/>
  </colFields>
  <colItems count="4">
    <i>
      <x/>
    </i>
    <i>
      <x v="1"/>
    </i>
    <i>
      <x v="2"/>
    </i>
    <i t="grand">
      <x/>
    </i>
  </colItems>
  <dataFields count="1">
    <dataField name="Count of L3 Process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2FAA41-85DA-413F-AC20-C0D4F8ADCA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E36" firstHeaderRow="1" firstDataRow="2" firstDataCol="1"/>
  <pivotFields count="7">
    <pivotField showAll="0"/>
    <pivotField showAll="0"/>
    <pivotField dataField="1" showAll="0"/>
    <pivotField showAll="0"/>
    <pivotField showAll="0"/>
    <pivotField axis="axisRow" showAll="0">
      <items count="8">
        <item x="0"/>
        <item x="6"/>
        <item x="1"/>
        <item x="2"/>
        <item x="3"/>
        <item x="4"/>
        <item x="5"/>
        <item t="default"/>
      </items>
    </pivotField>
    <pivotField axis="axisCol" showAll="0" sortType="descending">
      <items count="4">
        <item x="1"/>
        <item x="0"/>
        <item x="2"/>
        <item t="default"/>
      </items>
    </pivotField>
  </pivotFields>
  <rowFields count="1">
    <field x="5"/>
  </rowFields>
  <rowItems count="8">
    <i>
      <x/>
    </i>
    <i>
      <x v="1"/>
    </i>
    <i>
      <x v="2"/>
    </i>
    <i>
      <x v="3"/>
    </i>
    <i>
      <x v="4"/>
    </i>
    <i>
      <x v="5"/>
    </i>
    <i>
      <x v="6"/>
    </i>
    <i t="grand">
      <x/>
    </i>
  </rowItems>
  <colFields count="1">
    <field x="6"/>
  </colFields>
  <colItems count="4">
    <i>
      <x/>
    </i>
    <i>
      <x v="1"/>
    </i>
    <i>
      <x v="2"/>
    </i>
    <i t="grand">
      <x/>
    </i>
  </colItems>
  <dataFields count="1">
    <dataField name="Count of L3 Process Name" fld="2" subtotal="count" baseField="0" baseItem="0"/>
  </dataFields>
  <formats count="2">
    <format dxfId="1">
      <pivotArea collapsedLevelsAreSubtotals="1" fieldPosition="0">
        <references count="1">
          <reference field="5"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3" dT="2025-11-21T11:34:47.36" personId="{E164CD4D-F60A-4122-8809-9E91BD6DDA59}" id="{FEEF030B-DA5E-4692-A97B-6F20D52A386C}">
    <text>How impacted by AMI? Seems like a legacy process</text>
  </threadedComment>
  <threadedComment ref="C24" dT="2025-11-21T11:37:32.57" personId="{E164CD4D-F60A-4122-8809-9E91BD6DDA59}" id="{00B994E0-7A92-4D97-86E9-8E355BFE690C}">
    <text>How is this an AMI process?  This doesn’t seem to be something driven AMI</text>
  </threadedComment>
  <threadedComment ref="C26" dT="2025-11-21T13:15:48.48" personId="{E164CD4D-F60A-4122-8809-9E91BD6DDA59}" id="{FFDB8243-F3E1-4D27-93FB-35D7FDAECC48}">
    <text>Technical process not business process</text>
  </threadedComment>
  <threadedComment ref="C27" dT="2025-11-21T12:13:27.56" personId="{E164CD4D-F60A-4122-8809-9E91BD6DDA59}" id="{A92942D8-8D43-4290-9F76-2E2E72913B68}">
    <text>This doesn’t feel like a capability of the production system</text>
  </threadedComment>
  <threadedComment ref="C28" dT="2025-11-21T12:13:44.78" personId="{E164CD4D-F60A-4122-8809-9E91BD6DDA59}" id="{75C3F44E-861C-4687-B291-4BEDC98527EE}">
    <text>This doesn’t feel like a capabilities of the production system. Not sure who was asking for this.</text>
  </threadedComment>
</ThreadedComments>
</file>

<file path=xl/threadedComments/threadedComment2.xml><?xml version="1.0" encoding="utf-8"?>
<ThreadedComments xmlns="http://schemas.microsoft.com/office/spreadsheetml/2018/threadedcomments" xmlns:x="http://schemas.openxmlformats.org/spreadsheetml/2006/main">
  <threadedComment ref="C29" dT="2025-11-21T11:31:55.00" personId="{E164CD4D-F60A-4122-8809-9E91BD6DDA59}" id="{9C7F1D5E-E9EC-4228-996C-3A3B1AEAB5A8}">
    <text>Could this be combined with calculate bill?</text>
  </threadedComment>
</ThreadedComment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2926-E8FC-4E51-8265-E6D97D7EE353}">
  <dimension ref="A1:H117"/>
  <sheetViews>
    <sheetView tabSelected="1" zoomScale="70" zoomScaleNormal="70" workbookViewId="0">
      <selection activeCell="A33" sqref="A33"/>
    </sheetView>
  </sheetViews>
  <sheetFormatPr defaultRowHeight="15" x14ac:dyDescent="0.25"/>
  <cols>
    <col min="1" max="1" width="30.42578125" customWidth="1"/>
    <col min="2" max="2" width="52" customWidth="1"/>
    <col min="3" max="3" width="63.85546875" customWidth="1"/>
    <col min="4" max="4" width="73.42578125" customWidth="1"/>
    <col min="5" max="5" width="54.140625" customWidth="1"/>
    <col min="6" max="6" width="41" customWidth="1"/>
    <col min="7" max="7" width="46.140625" customWidth="1"/>
    <col min="8" max="8" width="37.140625" customWidth="1"/>
  </cols>
  <sheetData>
    <row r="1" spans="1:8" ht="15.75" thickBot="1" x14ac:dyDescent="0.3">
      <c r="A1" s="10" t="s">
        <v>0</v>
      </c>
      <c r="B1" s="10" t="s">
        <v>1</v>
      </c>
      <c r="C1" s="10" t="s">
        <v>2</v>
      </c>
      <c r="D1" s="10" t="s">
        <v>3</v>
      </c>
      <c r="E1" s="10" t="s">
        <v>4</v>
      </c>
      <c r="F1" s="10" t="s">
        <v>5</v>
      </c>
      <c r="G1" s="10" t="s">
        <v>469</v>
      </c>
      <c r="H1" s="10" t="s">
        <v>6</v>
      </c>
    </row>
    <row r="2" spans="1:8" ht="29.25" thickBot="1" x14ac:dyDescent="0.3">
      <c r="A2" s="11" t="s">
        <v>181</v>
      </c>
      <c r="B2" s="11" t="s">
        <v>182</v>
      </c>
      <c r="C2" s="11" t="s">
        <v>183</v>
      </c>
      <c r="D2" s="11" t="s">
        <v>184</v>
      </c>
      <c r="E2" s="11" t="s">
        <v>497</v>
      </c>
      <c r="F2" s="11" t="s">
        <v>14</v>
      </c>
      <c r="G2" s="11" t="s">
        <v>496</v>
      </c>
      <c r="H2" s="11" t="s">
        <v>21</v>
      </c>
    </row>
    <row r="3" spans="1:8" ht="29.25" thickBot="1" x14ac:dyDescent="0.3">
      <c r="A3" s="11" t="s">
        <v>181</v>
      </c>
      <c r="B3" s="11" t="s">
        <v>182</v>
      </c>
      <c r="C3" s="11" t="s">
        <v>185</v>
      </c>
      <c r="D3" s="11" t="s">
        <v>186</v>
      </c>
      <c r="E3" s="11" t="s">
        <v>497</v>
      </c>
      <c r="F3" s="11" t="s">
        <v>14</v>
      </c>
      <c r="G3" s="11" t="s">
        <v>496</v>
      </c>
      <c r="H3" s="11" t="s">
        <v>21</v>
      </c>
    </row>
    <row r="4" spans="1:8" ht="29.25" thickBot="1" x14ac:dyDescent="0.3">
      <c r="A4" s="11" t="s">
        <v>181</v>
      </c>
      <c r="B4" s="11" t="s">
        <v>182</v>
      </c>
      <c r="C4" s="11" t="s">
        <v>388</v>
      </c>
      <c r="D4" s="11" t="s">
        <v>389</v>
      </c>
      <c r="E4" s="11" t="s">
        <v>497</v>
      </c>
      <c r="F4" s="11" t="s">
        <v>14</v>
      </c>
      <c r="G4" s="11" t="s">
        <v>496</v>
      </c>
      <c r="H4" s="11" t="s">
        <v>21</v>
      </c>
    </row>
    <row r="5" spans="1:8" ht="29.25" thickBot="1" x14ac:dyDescent="0.3">
      <c r="A5" s="11" t="s">
        <v>181</v>
      </c>
      <c r="B5" s="11" t="s">
        <v>182</v>
      </c>
      <c r="C5" s="11" t="s">
        <v>187</v>
      </c>
      <c r="D5" s="11" t="s">
        <v>188</v>
      </c>
      <c r="E5" s="11" t="s">
        <v>497</v>
      </c>
      <c r="F5" s="11" t="s">
        <v>14</v>
      </c>
      <c r="G5" s="11" t="s">
        <v>496</v>
      </c>
      <c r="H5" s="11" t="s">
        <v>21</v>
      </c>
    </row>
    <row r="6" spans="1:8" ht="29.25" thickBot="1" x14ac:dyDescent="0.3">
      <c r="A6" s="11" t="s">
        <v>181</v>
      </c>
      <c r="B6" s="11" t="s">
        <v>182</v>
      </c>
      <c r="C6" s="11" t="s">
        <v>189</v>
      </c>
      <c r="D6" s="11" t="s">
        <v>190</v>
      </c>
      <c r="E6" s="11" t="s">
        <v>81</v>
      </c>
      <c r="F6" s="11" t="s">
        <v>14</v>
      </c>
      <c r="G6" s="11" t="s">
        <v>496</v>
      </c>
      <c r="H6" s="11" t="s">
        <v>15</v>
      </c>
    </row>
    <row r="7" spans="1:8" ht="29.25" thickBot="1" x14ac:dyDescent="0.3">
      <c r="A7" s="11" t="s">
        <v>181</v>
      </c>
      <c r="B7" s="11" t="s">
        <v>191</v>
      </c>
      <c r="C7" s="11" t="s">
        <v>192</v>
      </c>
      <c r="D7" s="11" t="s">
        <v>193</v>
      </c>
      <c r="E7" s="11" t="s">
        <v>497</v>
      </c>
      <c r="F7" s="11" t="s">
        <v>14</v>
      </c>
      <c r="G7" s="11" t="s">
        <v>496</v>
      </c>
      <c r="H7" s="11" t="s">
        <v>21</v>
      </c>
    </row>
    <row r="8" spans="1:8" ht="15.75" thickBot="1" x14ac:dyDescent="0.3">
      <c r="A8" s="11" t="s">
        <v>181</v>
      </c>
      <c r="B8" s="11" t="s">
        <v>191</v>
      </c>
      <c r="C8" s="11" t="s">
        <v>194</v>
      </c>
      <c r="D8" s="11" t="s">
        <v>195</v>
      </c>
      <c r="E8" s="11" t="s">
        <v>497</v>
      </c>
      <c r="F8" s="11" t="s">
        <v>14</v>
      </c>
      <c r="G8" s="11" t="s">
        <v>496</v>
      </c>
      <c r="H8" s="11" t="s">
        <v>15</v>
      </c>
    </row>
    <row r="9" spans="1:8" ht="29.25" thickBot="1" x14ac:dyDescent="0.3">
      <c r="A9" s="11" t="s">
        <v>181</v>
      </c>
      <c r="B9" s="11" t="s">
        <v>196</v>
      </c>
      <c r="C9" s="11" t="s">
        <v>391</v>
      </c>
      <c r="D9" s="11" t="s">
        <v>393</v>
      </c>
      <c r="E9" s="11" t="s">
        <v>497</v>
      </c>
      <c r="F9" s="11" t="s">
        <v>14</v>
      </c>
      <c r="G9" s="11" t="s">
        <v>496</v>
      </c>
      <c r="H9" s="11" t="s">
        <v>15</v>
      </c>
    </row>
    <row r="10" spans="1:8" ht="29.25" thickBot="1" x14ac:dyDescent="0.3">
      <c r="A10" s="11" t="s">
        <v>181</v>
      </c>
      <c r="B10" s="11" t="s">
        <v>196</v>
      </c>
      <c r="C10" s="11" t="s">
        <v>390</v>
      </c>
      <c r="D10" s="11" t="s">
        <v>392</v>
      </c>
      <c r="E10" s="11" t="s">
        <v>497</v>
      </c>
      <c r="F10" s="11" t="s">
        <v>35</v>
      </c>
      <c r="G10" s="11" t="s">
        <v>496</v>
      </c>
      <c r="H10" s="11" t="s">
        <v>15</v>
      </c>
    </row>
    <row r="11" spans="1:8" ht="29.25" thickBot="1" x14ac:dyDescent="0.3">
      <c r="A11" s="11" t="s">
        <v>384</v>
      </c>
      <c r="B11" s="11" t="s">
        <v>96</v>
      </c>
      <c r="C11" s="11" t="s">
        <v>97</v>
      </c>
      <c r="D11" s="11" t="s">
        <v>98</v>
      </c>
      <c r="E11" s="11" t="s">
        <v>497</v>
      </c>
      <c r="F11" s="11" t="s">
        <v>14</v>
      </c>
      <c r="G11" s="11" t="s">
        <v>496</v>
      </c>
      <c r="H11" s="11" t="s">
        <v>15</v>
      </c>
    </row>
    <row r="12" spans="1:8" ht="29.25" thickBot="1" x14ac:dyDescent="0.3">
      <c r="A12" s="11" t="s">
        <v>384</v>
      </c>
      <c r="B12" s="11" t="s">
        <v>96</v>
      </c>
      <c r="C12" s="11" t="s">
        <v>456</v>
      </c>
      <c r="D12" s="11" t="s">
        <v>99</v>
      </c>
      <c r="E12" s="11" t="s">
        <v>497</v>
      </c>
      <c r="F12" s="11" t="s">
        <v>14</v>
      </c>
      <c r="G12" s="11" t="s">
        <v>496</v>
      </c>
      <c r="H12" s="11" t="s">
        <v>15</v>
      </c>
    </row>
    <row r="13" spans="1:8" ht="29.25" thickBot="1" x14ac:dyDescent="0.3">
      <c r="A13" s="11" t="s">
        <v>384</v>
      </c>
      <c r="B13" s="11" t="s">
        <v>96</v>
      </c>
      <c r="C13" s="11" t="s">
        <v>100</v>
      </c>
      <c r="D13" s="11" t="s">
        <v>101</v>
      </c>
      <c r="E13" s="11" t="s">
        <v>497</v>
      </c>
      <c r="F13" s="11" t="s">
        <v>14</v>
      </c>
      <c r="G13" s="11" t="s">
        <v>496</v>
      </c>
      <c r="H13" s="11" t="s">
        <v>15</v>
      </c>
    </row>
    <row r="14" spans="1:8" ht="29.25" thickBot="1" x14ac:dyDescent="0.3">
      <c r="A14" s="11" t="s">
        <v>384</v>
      </c>
      <c r="B14" s="11" t="s">
        <v>103</v>
      </c>
      <c r="C14" s="11" t="s">
        <v>104</v>
      </c>
      <c r="D14" s="11" t="s">
        <v>105</v>
      </c>
      <c r="E14" s="11" t="s">
        <v>52</v>
      </c>
      <c r="F14" s="11" t="s">
        <v>14</v>
      </c>
      <c r="G14" s="11" t="s">
        <v>496</v>
      </c>
      <c r="H14" s="11" t="s">
        <v>21</v>
      </c>
    </row>
    <row r="15" spans="1:8" ht="29.25" thickBot="1" x14ac:dyDescent="0.3">
      <c r="A15" s="11" t="s">
        <v>384</v>
      </c>
      <c r="B15" s="11" t="s">
        <v>83</v>
      </c>
      <c r="C15" s="11" t="s">
        <v>514</v>
      </c>
      <c r="D15" s="11" t="s">
        <v>85</v>
      </c>
      <c r="E15" s="11" t="s">
        <v>497</v>
      </c>
      <c r="F15" s="11" t="s">
        <v>14</v>
      </c>
      <c r="G15" s="11" t="s">
        <v>496</v>
      </c>
      <c r="H15" s="11" t="s">
        <v>15</v>
      </c>
    </row>
    <row r="16" spans="1:8" ht="29.25" thickBot="1" x14ac:dyDescent="0.3">
      <c r="A16" s="11" t="s">
        <v>384</v>
      </c>
      <c r="B16" s="11" t="s">
        <v>83</v>
      </c>
      <c r="C16" s="11" t="s">
        <v>515</v>
      </c>
      <c r="D16" s="11" t="s">
        <v>516</v>
      </c>
      <c r="E16" s="11" t="s">
        <v>497</v>
      </c>
      <c r="F16" s="11" t="s">
        <v>14</v>
      </c>
      <c r="G16" s="11" t="s">
        <v>496</v>
      </c>
      <c r="H16" s="11" t="s">
        <v>15</v>
      </c>
    </row>
    <row r="17" spans="1:8" ht="29.25" thickBot="1" x14ac:dyDescent="0.3">
      <c r="A17" s="11" t="s">
        <v>384</v>
      </c>
      <c r="B17" s="11" t="s">
        <v>83</v>
      </c>
      <c r="C17" s="11" t="s">
        <v>89</v>
      </c>
      <c r="D17" s="11" t="s">
        <v>90</v>
      </c>
      <c r="E17" s="11" t="s">
        <v>497</v>
      </c>
      <c r="F17" s="11" t="s">
        <v>14</v>
      </c>
      <c r="G17" s="11" t="s">
        <v>496</v>
      </c>
      <c r="H17" s="11" t="s">
        <v>21</v>
      </c>
    </row>
    <row r="18" spans="1:8" ht="29.25" thickBot="1" x14ac:dyDescent="0.3">
      <c r="A18" s="11" t="s">
        <v>384</v>
      </c>
      <c r="B18" s="11" t="s">
        <v>103</v>
      </c>
      <c r="C18" s="11" t="s">
        <v>106</v>
      </c>
      <c r="D18" s="11" t="s">
        <v>107</v>
      </c>
      <c r="E18" s="11" t="s">
        <v>52</v>
      </c>
      <c r="F18" s="11" t="s">
        <v>14</v>
      </c>
      <c r="G18" s="11" t="s">
        <v>496</v>
      </c>
      <c r="H18" s="11" t="s">
        <v>21</v>
      </c>
    </row>
    <row r="19" spans="1:8" ht="29.25" thickBot="1" x14ac:dyDescent="0.3">
      <c r="A19" s="11" t="s">
        <v>384</v>
      </c>
      <c r="B19" s="11" t="s">
        <v>93</v>
      </c>
      <c r="C19" s="11" t="s">
        <v>94</v>
      </c>
      <c r="D19" s="11" t="s">
        <v>95</v>
      </c>
      <c r="E19" s="11" t="s">
        <v>497</v>
      </c>
      <c r="F19" s="11" t="s">
        <v>14</v>
      </c>
      <c r="G19" s="11" t="s">
        <v>496</v>
      </c>
      <c r="H19" s="11" t="s">
        <v>15</v>
      </c>
    </row>
    <row r="20" spans="1:8" ht="29.25" thickBot="1" x14ac:dyDescent="0.3">
      <c r="A20" s="11" t="s">
        <v>384</v>
      </c>
      <c r="B20" s="11" t="s">
        <v>196</v>
      </c>
      <c r="C20" s="11" t="s">
        <v>512</v>
      </c>
      <c r="D20" s="11" t="s">
        <v>394</v>
      </c>
      <c r="E20" s="11" t="s">
        <v>497</v>
      </c>
      <c r="F20" s="11" t="s">
        <v>14</v>
      </c>
      <c r="G20" s="11" t="s">
        <v>496</v>
      </c>
      <c r="H20" s="11" t="s">
        <v>21</v>
      </c>
    </row>
    <row r="21" spans="1:8" ht="100.5" thickBot="1" x14ac:dyDescent="0.3">
      <c r="A21" s="11" t="s">
        <v>385</v>
      </c>
      <c r="B21" s="11" t="s">
        <v>83</v>
      </c>
      <c r="C21" s="11" t="s">
        <v>408</v>
      </c>
      <c r="D21" s="11" t="s">
        <v>86</v>
      </c>
      <c r="E21" s="11" t="s">
        <v>81</v>
      </c>
      <c r="F21" s="11" t="s">
        <v>18</v>
      </c>
      <c r="G21" s="11" t="s">
        <v>477</v>
      </c>
      <c r="H21" s="11" t="s">
        <v>15</v>
      </c>
    </row>
    <row r="22" spans="1:8" ht="100.5" thickBot="1" x14ac:dyDescent="0.3">
      <c r="A22" s="11" t="s">
        <v>385</v>
      </c>
      <c r="B22" s="11" t="s">
        <v>83</v>
      </c>
      <c r="C22" s="11" t="s">
        <v>407</v>
      </c>
      <c r="D22" s="11" t="s">
        <v>409</v>
      </c>
      <c r="E22" s="11" t="s">
        <v>81</v>
      </c>
      <c r="F22" s="11" t="s">
        <v>18</v>
      </c>
      <c r="G22" s="11" t="s">
        <v>477</v>
      </c>
      <c r="H22" s="11" t="s">
        <v>15</v>
      </c>
    </row>
    <row r="23" spans="1:8" ht="29.25" thickBot="1" x14ac:dyDescent="0.3">
      <c r="A23" s="11" t="s">
        <v>385</v>
      </c>
      <c r="B23" s="11" t="s">
        <v>204</v>
      </c>
      <c r="C23" s="11" t="s">
        <v>205</v>
      </c>
      <c r="D23" s="11" t="s">
        <v>206</v>
      </c>
      <c r="E23" s="11" t="s">
        <v>497</v>
      </c>
      <c r="F23" s="11" t="s">
        <v>14</v>
      </c>
      <c r="G23" s="11" t="s">
        <v>496</v>
      </c>
      <c r="H23" s="11" t="s">
        <v>15</v>
      </c>
    </row>
    <row r="24" spans="1:8" ht="15.75" thickBot="1" x14ac:dyDescent="0.3">
      <c r="A24" s="11" t="s">
        <v>385</v>
      </c>
      <c r="B24" s="11" t="s">
        <v>204</v>
      </c>
      <c r="C24" s="11" t="s">
        <v>517</v>
      </c>
      <c r="D24" s="11" t="s">
        <v>518</v>
      </c>
      <c r="E24" s="11" t="s">
        <v>497</v>
      </c>
      <c r="F24" s="11" t="s">
        <v>14</v>
      </c>
      <c r="G24" s="11" t="s">
        <v>496</v>
      </c>
      <c r="H24" s="11" t="s">
        <v>15</v>
      </c>
    </row>
    <row r="25" spans="1:8" ht="43.5" thickBot="1" x14ac:dyDescent="0.3">
      <c r="A25" s="11" t="s">
        <v>385</v>
      </c>
      <c r="B25" s="11" t="s">
        <v>204</v>
      </c>
      <c r="C25" s="11" t="s">
        <v>211</v>
      </c>
      <c r="D25" s="11" t="s">
        <v>212</v>
      </c>
      <c r="E25" s="11" t="s">
        <v>542</v>
      </c>
      <c r="F25" s="11" t="s">
        <v>14</v>
      </c>
      <c r="G25" s="11" t="s">
        <v>496</v>
      </c>
      <c r="H25" s="11" t="s">
        <v>15</v>
      </c>
    </row>
    <row r="26" spans="1:8" ht="29.25" thickBot="1" x14ac:dyDescent="0.3">
      <c r="A26" s="11" t="s">
        <v>385</v>
      </c>
      <c r="B26" s="11" t="s">
        <v>204</v>
      </c>
      <c r="C26" s="11" t="s">
        <v>209</v>
      </c>
      <c r="D26" s="11" t="s">
        <v>210</v>
      </c>
      <c r="E26" s="11" t="s">
        <v>497</v>
      </c>
      <c r="F26" s="11" t="s">
        <v>14</v>
      </c>
      <c r="G26" s="11" t="s">
        <v>496</v>
      </c>
      <c r="H26" s="11" t="s">
        <v>15</v>
      </c>
    </row>
    <row r="27" spans="1:8" ht="29.25" thickBot="1" x14ac:dyDescent="0.3">
      <c r="A27" s="11" t="s">
        <v>385</v>
      </c>
      <c r="B27" s="11" t="s">
        <v>214</v>
      </c>
      <c r="C27" s="11" t="s">
        <v>173</v>
      </c>
      <c r="D27" s="11" t="s">
        <v>174</v>
      </c>
      <c r="E27" s="11" t="s">
        <v>497</v>
      </c>
      <c r="F27" s="11" t="s">
        <v>14</v>
      </c>
      <c r="G27" s="11" t="s">
        <v>496</v>
      </c>
      <c r="H27" s="11" t="s">
        <v>15</v>
      </c>
    </row>
    <row r="28" spans="1:8" ht="29.25" thickBot="1" x14ac:dyDescent="0.3">
      <c r="A28" s="11" t="s">
        <v>385</v>
      </c>
      <c r="B28" s="11" t="s">
        <v>214</v>
      </c>
      <c r="C28" s="11" t="s">
        <v>219</v>
      </c>
      <c r="D28" s="11" t="s">
        <v>220</v>
      </c>
      <c r="E28" s="11" t="s">
        <v>497</v>
      </c>
      <c r="F28" s="11" t="s">
        <v>14</v>
      </c>
      <c r="G28" s="11" t="s">
        <v>496</v>
      </c>
      <c r="H28" s="11" t="s">
        <v>15</v>
      </c>
    </row>
    <row r="29" spans="1:8" ht="29.25" thickBot="1" x14ac:dyDescent="0.3">
      <c r="A29" s="11" t="s">
        <v>385</v>
      </c>
      <c r="B29" s="11" t="s">
        <v>214</v>
      </c>
      <c r="C29" s="11" t="s">
        <v>215</v>
      </c>
      <c r="D29" s="11" t="s">
        <v>216</v>
      </c>
      <c r="E29" s="11" t="s">
        <v>497</v>
      </c>
      <c r="F29" s="11" t="s">
        <v>14</v>
      </c>
      <c r="G29" s="11" t="s">
        <v>496</v>
      </c>
      <c r="H29" s="11" t="s">
        <v>15</v>
      </c>
    </row>
    <row r="30" spans="1:8" ht="29.25" thickBot="1" x14ac:dyDescent="0.3">
      <c r="A30" s="11" t="s">
        <v>385</v>
      </c>
      <c r="B30" s="11" t="s">
        <v>214</v>
      </c>
      <c r="C30" s="11" t="s">
        <v>217</v>
      </c>
      <c r="D30" s="11" t="s">
        <v>218</v>
      </c>
      <c r="E30" s="11" t="s">
        <v>497</v>
      </c>
      <c r="F30" s="11" t="s">
        <v>14</v>
      </c>
      <c r="G30" s="11" t="s">
        <v>496</v>
      </c>
      <c r="H30" s="11" t="s">
        <v>15</v>
      </c>
    </row>
    <row r="31" spans="1:8" ht="29.25" thickBot="1" x14ac:dyDescent="0.3">
      <c r="A31" s="11" t="s">
        <v>385</v>
      </c>
      <c r="B31" s="11" t="s">
        <v>197</v>
      </c>
      <c r="C31" s="11" t="s">
        <v>198</v>
      </c>
      <c r="D31" s="11" t="s">
        <v>199</v>
      </c>
      <c r="E31" s="11" t="s">
        <v>81</v>
      </c>
      <c r="F31" s="11" t="s">
        <v>14</v>
      </c>
      <c r="G31" s="11" t="s">
        <v>496</v>
      </c>
      <c r="H31" s="11" t="s">
        <v>15</v>
      </c>
    </row>
    <row r="32" spans="1:8" ht="29.25" thickBot="1" x14ac:dyDescent="0.3">
      <c r="A32" s="11" t="s">
        <v>385</v>
      </c>
      <c r="B32" s="11" t="s">
        <v>197</v>
      </c>
      <c r="C32" s="11" t="s">
        <v>386</v>
      </c>
      <c r="D32" s="11" t="s">
        <v>387</v>
      </c>
      <c r="E32" s="11" t="s">
        <v>497</v>
      </c>
      <c r="F32" s="11" t="s">
        <v>35</v>
      </c>
      <c r="G32" s="11" t="s">
        <v>496</v>
      </c>
      <c r="H32" s="11" t="s">
        <v>21</v>
      </c>
    </row>
    <row r="33" spans="1:8" ht="100.5" thickBot="1" x14ac:dyDescent="0.3">
      <c r="A33" s="11" t="s">
        <v>464</v>
      </c>
      <c r="B33" s="11" t="s">
        <v>230</v>
      </c>
      <c r="C33" s="11" t="s">
        <v>395</v>
      </c>
      <c r="D33" s="11" t="s">
        <v>231</v>
      </c>
      <c r="E33" s="11" t="s">
        <v>498</v>
      </c>
      <c r="F33" s="11" t="s">
        <v>18</v>
      </c>
      <c r="G33" s="11" t="s">
        <v>471</v>
      </c>
      <c r="H33" s="11" t="s">
        <v>15</v>
      </c>
    </row>
    <row r="34" spans="1:8" ht="72" thickBot="1" x14ac:dyDescent="0.3">
      <c r="A34" s="11" t="s">
        <v>464</v>
      </c>
      <c r="B34" s="11" t="s">
        <v>230</v>
      </c>
      <c r="C34" s="11" t="s">
        <v>396</v>
      </c>
      <c r="D34" s="11" t="s">
        <v>232</v>
      </c>
      <c r="E34" s="11" t="s">
        <v>498</v>
      </c>
      <c r="F34" s="11" t="s">
        <v>18</v>
      </c>
      <c r="G34" s="11" t="s">
        <v>470</v>
      </c>
      <c r="H34" s="11" t="s">
        <v>15</v>
      </c>
    </row>
    <row r="35" spans="1:8" ht="29.25" thickBot="1" x14ac:dyDescent="0.3">
      <c r="A35" s="11" t="s">
        <v>464</v>
      </c>
      <c r="B35" s="11" t="s">
        <v>230</v>
      </c>
      <c r="C35" s="11" t="s">
        <v>233</v>
      </c>
      <c r="D35" s="11" t="s">
        <v>519</v>
      </c>
      <c r="E35" s="11" t="s">
        <v>81</v>
      </c>
      <c r="F35" s="11" t="s">
        <v>14</v>
      </c>
      <c r="G35" s="11" t="s">
        <v>496</v>
      </c>
      <c r="H35" s="11" t="s">
        <v>15</v>
      </c>
    </row>
    <row r="36" spans="1:8" ht="72" thickBot="1" x14ac:dyDescent="0.3">
      <c r="A36" s="11" t="s">
        <v>464</v>
      </c>
      <c r="B36" s="11" t="s">
        <v>230</v>
      </c>
      <c r="C36" s="11" t="s">
        <v>24</v>
      </c>
      <c r="D36" s="11" t="s">
        <v>25</v>
      </c>
      <c r="E36" s="11" t="s">
        <v>13</v>
      </c>
      <c r="F36" s="11" t="s">
        <v>18</v>
      </c>
      <c r="G36" s="11" t="s">
        <v>472</v>
      </c>
      <c r="H36" s="11" t="s">
        <v>15</v>
      </c>
    </row>
    <row r="37" spans="1:8" ht="72" thickBot="1" x14ac:dyDescent="0.3">
      <c r="A37" s="11" t="s">
        <v>464</v>
      </c>
      <c r="B37" s="11" t="s">
        <v>230</v>
      </c>
      <c r="C37" s="11" t="s">
        <v>422</v>
      </c>
      <c r="D37" s="11" t="s">
        <v>423</v>
      </c>
      <c r="E37" s="11" t="s">
        <v>13</v>
      </c>
      <c r="F37" s="11" t="s">
        <v>18</v>
      </c>
      <c r="G37" s="11" t="s">
        <v>473</v>
      </c>
      <c r="H37" s="11" t="s">
        <v>21</v>
      </c>
    </row>
    <row r="38" spans="1:8" ht="72" thickBot="1" x14ac:dyDescent="0.3">
      <c r="A38" s="11" t="s">
        <v>464</v>
      </c>
      <c r="B38" s="11" t="s">
        <v>230</v>
      </c>
      <c r="C38" s="11" t="s">
        <v>508</v>
      </c>
      <c r="D38" s="11" t="s">
        <v>221</v>
      </c>
      <c r="E38" s="11" t="s">
        <v>40</v>
      </c>
      <c r="F38" s="11" t="s">
        <v>18</v>
      </c>
      <c r="G38" s="11" t="s">
        <v>474</v>
      </c>
      <c r="H38" s="11" t="s">
        <v>15</v>
      </c>
    </row>
    <row r="39" spans="1:8" ht="29.25" thickBot="1" x14ac:dyDescent="0.3">
      <c r="A39" s="11" t="s">
        <v>10</v>
      </c>
      <c r="B39" s="11" t="s">
        <v>26</v>
      </c>
      <c r="C39" s="11" t="s">
        <v>27</v>
      </c>
      <c r="D39" s="11" t="s">
        <v>28</v>
      </c>
      <c r="E39" s="11" t="s">
        <v>29</v>
      </c>
      <c r="F39" s="11" t="s">
        <v>14</v>
      </c>
      <c r="G39" s="11" t="s">
        <v>496</v>
      </c>
      <c r="H39" s="11" t="s">
        <v>15</v>
      </c>
    </row>
    <row r="40" spans="1:8" ht="86.25" thickBot="1" x14ac:dyDescent="0.3">
      <c r="A40" s="11" t="s">
        <v>10</v>
      </c>
      <c r="B40" s="11" t="s">
        <v>26</v>
      </c>
      <c r="C40" s="11" t="s">
        <v>30</v>
      </c>
      <c r="D40" s="11" t="s">
        <v>31</v>
      </c>
      <c r="E40" s="11" t="s">
        <v>29</v>
      </c>
      <c r="F40" s="11" t="s">
        <v>32</v>
      </c>
      <c r="G40" s="11" t="s">
        <v>513</v>
      </c>
      <c r="H40" s="11" t="s">
        <v>15</v>
      </c>
    </row>
    <row r="41" spans="1:8" ht="29.25" thickBot="1" x14ac:dyDescent="0.3">
      <c r="A41" s="11" t="s">
        <v>10</v>
      </c>
      <c r="B41" s="11" t="s">
        <v>11</v>
      </c>
      <c r="C41" s="11" t="s">
        <v>12</v>
      </c>
      <c r="D41" s="11" t="s">
        <v>521</v>
      </c>
      <c r="E41" s="11" t="s">
        <v>13</v>
      </c>
      <c r="F41" s="11" t="s">
        <v>14</v>
      </c>
      <c r="G41" s="11" t="s">
        <v>496</v>
      </c>
      <c r="H41" s="11" t="s">
        <v>15</v>
      </c>
    </row>
    <row r="42" spans="1:8" ht="29.25" thickBot="1" x14ac:dyDescent="0.3">
      <c r="A42" s="11" t="s">
        <v>10</v>
      </c>
      <c r="B42" s="11" t="s">
        <v>11</v>
      </c>
      <c r="C42" s="11" t="s">
        <v>520</v>
      </c>
      <c r="D42" s="11" t="s">
        <v>522</v>
      </c>
      <c r="E42" s="11" t="s">
        <v>13</v>
      </c>
      <c r="F42" s="11" t="s">
        <v>14</v>
      </c>
      <c r="G42" s="11" t="s">
        <v>496</v>
      </c>
      <c r="H42" s="11" t="s">
        <v>15</v>
      </c>
    </row>
    <row r="43" spans="1:8" ht="29.25" thickBot="1" x14ac:dyDescent="0.3">
      <c r="A43" s="11" t="s">
        <v>10</v>
      </c>
      <c r="B43" s="11" t="s">
        <v>11</v>
      </c>
      <c r="C43" s="11" t="s">
        <v>19</v>
      </c>
      <c r="D43" s="11" t="s">
        <v>20</v>
      </c>
      <c r="E43" s="11" t="s">
        <v>13</v>
      </c>
      <c r="F43" s="11" t="s">
        <v>14</v>
      </c>
      <c r="G43" s="11" t="s">
        <v>496</v>
      </c>
      <c r="H43" s="11" t="s">
        <v>21</v>
      </c>
    </row>
    <row r="44" spans="1:8" ht="29.25" thickBot="1" x14ac:dyDescent="0.3">
      <c r="A44" s="11" t="s">
        <v>10</v>
      </c>
      <c r="B44" s="11" t="s">
        <v>11</v>
      </c>
      <c r="C44" s="11" t="s">
        <v>16</v>
      </c>
      <c r="D44" s="11" t="s">
        <v>17</v>
      </c>
      <c r="E44" s="11" t="s">
        <v>13</v>
      </c>
      <c r="F44" s="11" t="s">
        <v>14</v>
      </c>
      <c r="G44" s="11" t="s">
        <v>496</v>
      </c>
      <c r="H44" s="11" t="s">
        <v>15</v>
      </c>
    </row>
    <row r="45" spans="1:8" ht="29.25" thickBot="1" x14ac:dyDescent="0.3">
      <c r="A45" s="11" t="s">
        <v>10</v>
      </c>
      <c r="B45" s="11" t="s">
        <v>11</v>
      </c>
      <c r="C45" s="11" t="s">
        <v>22</v>
      </c>
      <c r="D45" s="11" t="s">
        <v>23</v>
      </c>
      <c r="E45" s="11" t="s">
        <v>13</v>
      </c>
      <c r="F45" s="11" t="s">
        <v>14</v>
      </c>
      <c r="G45" s="11" t="s">
        <v>496</v>
      </c>
      <c r="H45" s="11" t="s">
        <v>21</v>
      </c>
    </row>
    <row r="46" spans="1:8" ht="43.5" thickBot="1" x14ac:dyDescent="0.3">
      <c r="A46" s="11" t="s">
        <v>10</v>
      </c>
      <c r="B46" s="11" t="s">
        <v>417</v>
      </c>
      <c r="C46" s="11" t="s">
        <v>418</v>
      </c>
      <c r="D46" s="11" t="s">
        <v>419</v>
      </c>
      <c r="E46" s="11" t="s">
        <v>541</v>
      </c>
      <c r="F46" s="11" t="s">
        <v>14</v>
      </c>
      <c r="G46" s="11" t="s">
        <v>496</v>
      </c>
      <c r="H46" s="11" t="s">
        <v>111</v>
      </c>
    </row>
    <row r="47" spans="1:8" ht="43.5" thickBot="1" x14ac:dyDescent="0.3">
      <c r="A47" s="11" t="s">
        <v>10</v>
      </c>
      <c r="B47" s="11" t="s">
        <v>417</v>
      </c>
      <c r="C47" s="11" t="s">
        <v>420</v>
      </c>
      <c r="D47" s="11" t="s">
        <v>421</v>
      </c>
      <c r="E47" s="11" t="s">
        <v>541</v>
      </c>
      <c r="F47" s="11" t="s">
        <v>14</v>
      </c>
      <c r="G47" s="11" t="s">
        <v>496</v>
      </c>
      <c r="H47" s="11" t="s">
        <v>111</v>
      </c>
    </row>
    <row r="48" spans="1:8" ht="29.25" thickBot="1" x14ac:dyDescent="0.3">
      <c r="A48" s="11" t="s">
        <v>10</v>
      </c>
      <c r="B48" s="11" t="s">
        <v>69</v>
      </c>
      <c r="C48" s="11" t="s">
        <v>70</v>
      </c>
      <c r="D48" s="11" t="s">
        <v>71</v>
      </c>
      <c r="E48" s="11" t="s">
        <v>52</v>
      </c>
      <c r="F48" s="11" t="s">
        <v>14</v>
      </c>
      <c r="G48" s="11" t="s">
        <v>496</v>
      </c>
      <c r="H48" s="11" t="s">
        <v>21</v>
      </c>
    </row>
    <row r="49" spans="1:8" ht="29.25" thickBot="1" x14ac:dyDescent="0.3">
      <c r="A49" s="11" t="s">
        <v>10</v>
      </c>
      <c r="B49" s="11" t="s">
        <v>69</v>
      </c>
      <c r="C49" s="11" t="s">
        <v>72</v>
      </c>
      <c r="D49" s="11" t="s">
        <v>73</v>
      </c>
      <c r="E49" s="11" t="s">
        <v>52</v>
      </c>
      <c r="F49" s="11" t="s">
        <v>14</v>
      </c>
      <c r="G49" s="11" t="s">
        <v>496</v>
      </c>
      <c r="H49" s="11" t="s">
        <v>21</v>
      </c>
    </row>
    <row r="50" spans="1:8" ht="43.5" thickBot="1" x14ac:dyDescent="0.3">
      <c r="A50" s="11" t="s">
        <v>10</v>
      </c>
      <c r="B50" s="11" t="s">
        <v>69</v>
      </c>
      <c r="C50" s="11" t="s">
        <v>413</v>
      </c>
      <c r="D50" s="11" t="s">
        <v>414</v>
      </c>
      <c r="E50" s="11" t="s">
        <v>401</v>
      </c>
      <c r="F50" s="11" t="s">
        <v>14</v>
      </c>
      <c r="G50" s="11" t="s">
        <v>496</v>
      </c>
      <c r="H50" s="11" t="s">
        <v>15</v>
      </c>
    </row>
    <row r="51" spans="1:8" ht="72" thickBot="1" x14ac:dyDescent="0.3">
      <c r="A51" s="11" t="s">
        <v>10</v>
      </c>
      <c r="B51" s="11" t="s">
        <v>39</v>
      </c>
      <c r="C51" s="11" t="s">
        <v>510</v>
      </c>
      <c r="D51" s="11" t="s">
        <v>511</v>
      </c>
      <c r="E51" s="11" t="s">
        <v>40</v>
      </c>
      <c r="F51" s="11" t="s">
        <v>18</v>
      </c>
      <c r="G51" s="11" t="s">
        <v>475</v>
      </c>
      <c r="H51" s="11" t="s">
        <v>15</v>
      </c>
    </row>
    <row r="52" spans="1:8" ht="72" thickBot="1" x14ac:dyDescent="0.3">
      <c r="A52" s="11" t="s">
        <v>10</v>
      </c>
      <c r="B52" s="11" t="s">
        <v>39</v>
      </c>
      <c r="C52" s="11" t="s">
        <v>41</v>
      </c>
      <c r="D52" s="11" t="s">
        <v>42</v>
      </c>
      <c r="E52" s="11" t="s">
        <v>40</v>
      </c>
      <c r="F52" s="11" t="s">
        <v>18</v>
      </c>
      <c r="G52" s="11" t="s">
        <v>475</v>
      </c>
      <c r="H52" s="11" t="s">
        <v>15</v>
      </c>
    </row>
    <row r="53" spans="1:8" ht="72" thickBot="1" x14ac:dyDescent="0.3">
      <c r="A53" s="11" t="s">
        <v>10</v>
      </c>
      <c r="B53" s="11" t="s">
        <v>39</v>
      </c>
      <c r="C53" s="11" t="s">
        <v>43</v>
      </c>
      <c r="D53" s="11" t="s">
        <v>44</v>
      </c>
      <c r="E53" s="11" t="s">
        <v>40</v>
      </c>
      <c r="F53" s="11" t="s">
        <v>18</v>
      </c>
      <c r="G53" s="11" t="s">
        <v>475</v>
      </c>
      <c r="H53" s="11" t="s">
        <v>21</v>
      </c>
    </row>
    <row r="54" spans="1:8" ht="29.25" thickBot="1" x14ac:dyDescent="0.3">
      <c r="A54" s="11" t="s">
        <v>10</v>
      </c>
      <c r="B54" s="11" t="s">
        <v>60</v>
      </c>
      <c r="C54" s="11" t="s">
        <v>502</v>
      </c>
      <c r="D54" s="11" t="s">
        <v>500</v>
      </c>
      <c r="E54" s="11" t="s">
        <v>497</v>
      </c>
      <c r="F54" s="11" t="s">
        <v>14</v>
      </c>
      <c r="G54" s="11" t="s">
        <v>496</v>
      </c>
      <c r="H54" s="11" t="s">
        <v>21</v>
      </c>
    </row>
    <row r="55" spans="1:8" ht="29.25" thickBot="1" x14ac:dyDescent="0.3">
      <c r="A55" s="11" t="s">
        <v>10</v>
      </c>
      <c r="B55" s="11" t="s">
        <v>60</v>
      </c>
      <c r="C55" s="11" t="s">
        <v>503</v>
      </c>
      <c r="D55" s="11" t="s">
        <v>501</v>
      </c>
      <c r="E55" s="11" t="s">
        <v>497</v>
      </c>
      <c r="F55" s="11" t="s">
        <v>14</v>
      </c>
      <c r="G55" s="11" t="s">
        <v>496</v>
      </c>
      <c r="H55" s="11" t="s">
        <v>21</v>
      </c>
    </row>
    <row r="56" spans="1:8" ht="29.25" thickBot="1" x14ac:dyDescent="0.3">
      <c r="A56" s="11" t="s">
        <v>10</v>
      </c>
      <c r="B56" s="11" t="s">
        <v>60</v>
      </c>
      <c r="C56" s="11" t="s">
        <v>63</v>
      </c>
      <c r="D56" s="11" t="s">
        <v>64</v>
      </c>
      <c r="E56" s="11" t="s">
        <v>497</v>
      </c>
      <c r="F56" s="11" t="s">
        <v>14</v>
      </c>
      <c r="G56" s="11" t="s">
        <v>496</v>
      </c>
      <c r="H56" s="11" t="s">
        <v>15</v>
      </c>
    </row>
    <row r="57" spans="1:8" ht="29.25" thickBot="1" x14ac:dyDescent="0.3">
      <c r="A57" s="11" t="s">
        <v>10</v>
      </c>
      <c r="B57" s="11" t="s">
        <v>60</v>
      </c>
      <c r="C57" s="11" t="s">
        <v>65</v>
      </c>
      <c r="D57" s="11" t="s">
        <v>66</v>
      </c>
      <c r="E57" s="11" t="s">
        <v>497</v>
      </c>
      <c r="F57" s="11" t="s">
        <v>14</v>
      </c>
      <c r="G57" s="11" t="s">
        <v>496</v>
      </c>
      <c r="H57" s="11" t="s">
        <v>15</v>
      </c>
    </row>
    <row r="58" spans="1:8" ht="29.25" thickBot="1" x14ac:dyDescent="0.3">
      <c r="A58" s="11" t="s">
        <v>10</v>
      </c>
      <c r="B58" s="11" t="s">
        <v>60</v>
      </c>
      <c r="C58" s="11" t="s">
        <v>67</v>
      </c>
      <c r="D58" s="11" t="s">
        <v>68</v>
      </c>
      <c r="E58" s="11" t="s">
        <v>497</v>
      </c>
      <c r="F58" s="11" t="s">
        <v>14</v>
      </c>
      <c r="G58" s="11" t="s">
        <v>496</v>
      </c>
      <c r="H58" s="11" t="s">
        <v>15</v>
      </c>
    </row>
    <row r="59" spans="1:8" ht="72" thickBot="1" x14ac:dyDescent="0.3">
      <c r="A59" s="11" t="s">
        <v>10</v>
      </c>
      <c r="B59" s="11" t="s">
        <v>45</v>
      </c>
      <c r="C59" s="11" t="s">
        <v>50</v>
      </c>
      <c r="D59" s="11" t="s">
        <v>51</v>
      </c>
      <c r="E59" s="11" t="s">
        <v>52</v>
      </c>
      <c r="F59" s="11" t="s">
        <v>49</v>
      </c>
      <c r="G59" s="11" t="s">
        <v>476</v>
      </c>
      <c r="H59" s="11" t="s">
        <v>15</v>
      </c>
    </row>
    <row r="60" spans="1:8" ht="29.25" thickBot="1" x14ac:dyDescent="0.3">
      <c r="A60" s="11" t="s">
        <v>10</v>
      </c>
      <c r="B60" s="11" t="s">
        <v>424</v>
      </c>
      <c r="C60" s="11" t="s">
        <v>425</v>
      </c>
      <c r="D60" s="11" t="s">
        <v>426</v>
      </c>
      <c r="E60" s="11" t="s">
        <v>497</v>
      </c>
      <c r="F60" s="11" t="s">
        <v>35</v>
      </c>
      <c r="G60" s="11" t="s">
        <v>496</v>
      </c>
      <c r="H60" s="11" t="s">
        <v>111</v>
      </c>
    </row>
    <row r="61" spans="1:8" ht="29.25" thickBot="1" x14ac:dyDescent="0.3">
      <c r="A61" s="11" t="s">
        <v>10</v>
      </c>
      <c r="B61" s="11" t="s">
        <v>424</v>
      </c>
      <c r="C61" s="11" t="s">
        <v>442</v>
      </c>
      <c r="D61" s="11" t="s">
        <v>443</v>
      </c>
      <c r="E61" s="11" t="s">
        <v>497</v>
      </c>
      <c r="F61" s="11" t="s">
        <v>35</v>
      </c>
      <c r="G61" s="11" t="s">
        <v>496</v>
      </c>
      <c r="H61" s="11" t="s">
        <v>15</v>
      </c>
    </row>
    <row r="62" spans="1:8" ht="29.25" thickBot="1" x14ac:dyDescent="0.3">
      <c r="A62" s="11" t="s">
        <v>10</v>
      </c>
      <c r="B62" s="11" t="s">
        <v>26</v>
      </c>
      <c r="C62" s="11" t="s">
        <v>427</v>
      </c>
      <c r="D62" s="11" t="s">
        <v>428</v>
      </c>
      <c r="E62" s="11" t="s">
        <v>52</v>
      </c>
      <c r="F62" s="11" t="s">
        <v>58</v>
      </c>
      <c r="G62" s="11" t="s">
        <v>496</v>
      </c>
      <c r="H62" s="11" t="s">
        <v>15</v>
      </c>
    </row>
    <row r="63" spans="1:8" ht="29.25" thickBot="1" x14ac:dyDescent="0.3">
      <c r="A63" s="11" t="s">
        <v>10</v>
      </c>
      <c r="B63" s="11" t="s">
        <v>26</v>
      </c>
      <c r="C63" s="11" t="s">
        <v>429</v>
      </c>
      <c r="D63" s="11" t="s">
        <v>430</v>
      </c>
      <c r="E63" s="11" t="s">
        <v>539</v>
      </c>
      <c r="F63" s="11" t="s">
        <v>58</v>
      </c>
      <c r="G63" s="11" t="s">
        <v>496</v>
      </c>
      <c r="H63" s="11" t="s">
        <v>111</v>
      </c>
    </row>
    <row r="64" spans="1:8" ht="29.25" thickBot="1" x14ac:dyDescent="0.3">
      <c r="A64" s="11" t="s">
        <v>10</v>
      </c>
      <c r="B64" s="11" t="s">
        <v>55</v>
      </c>
      <c r="C64" s="11" t="s">
        <v>397</v>
      </c>
      <c r="D64" s="11" t="s">
        <v>56</v>
      </c>
      <c r="E64" s="11" t="s">
        <v>57</v>
      </c>
      <c r="F64" s="11" t="s">
        <v>58</v>
      </c>
      <c r="G64" s="11" t="s">
        <v>496</v>
      </c>
      <c r="H64" s="11" t="s">
        <v>15</v>
      </c>
    </row>
    <row r="65" spans="1:8" ht="29.25" thickBot="1" x14ac:dyDescent="0.3">
      <c r="A65" s="11" t="s">
        <v>10</v>
      </c>
      <c r="B65" s="11" t="s">
        <v>55</v>
      </c>
      <c r="C65" s="11" t="s">
        <v>400</v>
      </c>
      <c r="D65" s="11" t="s">
        <v>59</v>
      </c>
      <c r="E65" s="11" t="s">
        <v>57</v>
      </c>
      <c r="F65" s="11" t="s">
        <v>58</v>
      </c>
      <c r="G65" s="11" t="s">
        <v>496</v>
      </c>
      <c r="H65" s="11" t="s">
        <v>15</v>
      </c>
    </row>
    <row r="66" spans="1:8" ht="29.25" thickBot="1" x14ac:dyDescent="0.3">
      <c r="A66" s="11" t="s">
        <v>10</v>
      </c>
      <c r="B66" s="11" t="s">
        <v>55</v>
      </c>
      <c r="C66" s="11" t="s">
        <v>398</v>
      </c>
      <c r="D66" s="11" t="s">
        <v>325</v>
      </c>
      <c r="E66" s="11" t="s">
        <v>57</v>
      </c>
      <c r="F66" s="11" t="s">
        <v>58</v>
      </c>
      <c r="G66" s="11" t="s">
        <v>496</v>
      </c>
      <c r="H66" s="11" t="s">
        <v>15</v>
      </c>
    </row>
    <row r="67" spans="1:8" ht="29.25" thickBot="1" x14ac:dyDescent="0.3">
      <c r="A67" s="11" t="s">
        <v>112</v>
      </c>
      <c r="B67" s="11" t="s">
        <v>146</v>
      </c>
      <c r="C67" s="11" t="s">
        <v>504</v>
      </c>
      <c r="D67" s="11" t="s">
        <v>505</v>
      </c>
      <c r="E67" s="11" t="s">
        <v>147</v>
      </c>
      <c r="F67" s="11" t="s">
        <v>35</v>
      </c>
      <c r="G67" s="11" t="s">
        <v>496</v>
      </c>
      <c r="H67" s="11" t="s">
        <v>15</v>
      </c>
    </row>
    <row r="68" spans="1:8" ht="72" thickBot="1" x14ac:dyDescent="0.3">
      <c r="A68" s="11" t="s">
        <v>112</v>
      </c>
      <c r="B68" s="11" t="s">
        <v>146</v>
      </c>
      <c r="C68" s="11" t="s">
        <v>148</v>
      </c>
      <c r="D68" s="11" t="s">
        <v>149</v>
      </c>
      <c r="E68" s="11" t="s">
        <v>147</v>
      </c>
      <c r="F68" s="11" t="s">
        <v>49</v>
      </c>
      <c r="G68" s="11" t="s">
        <v>524</v>
      </c>
      <c r="H68" s="11" t="s">
        <v>15</v>
      </c>
    </row>
    <row r="69" spans="1:8" ht="29.25" thickBot="1" x14ac:dyDescent="0.3">
      <c r="A69" s="11" t="s">
        <v>112</v>
      </c>
      <c r="B69" s="11" t="s">
        <v>146</v>
      </c>
      <c r="C69" s="11" t="s">
        <v>506</v>
      </c>
      <c r="D69" s="11" t="s">
        <v>507</v>
      </c>
      <c r="E69" s="11" t="s">
        <v>147</v>
      </c>
      <c r="F69" s="11" t="s">
        <v>35</v>
      </c>
      <c r="G69" s="11" t="s">
        <v>496</v>
      </c>
      <c r="H69" s="11" t="s">
        <v>15</v>
      </c>
    </row>
    <row r="70" spans="1:8" ht="29.25" thickBot="1" x14ac:dyDescent="0.3">
      <c r="A70" s="11" t="s">
        <v>112</v>
      </c>
      <c r="B70" s="11" t="s">
        <v>146</v>
      </c>
      <c r="C70" s="11" t="s">
        <v>150</v>
      </c>
      <c r="D70" s="11" t="s">
        <v>151</v>
      </c>
      <c r="E70" s="11" t="s">
        <v>147</v>
      </c>
      <c r="F70" s="11" t="s">
        <v>35</v>
      </c>
      <c r="G70" s="11" t="s">
        <v>496</v>
      </c>
      <c r="H70" s="11" t="s">
        <v>111</v>
      </c>
    </row>
    <row r="71" spans="1:8" ht="43.5" thickBot="1" x14ac:dyDescent="0.3">
      <c r="A71" s="11" t="s">
        <v>112</v>
      </c>
      <c r="B71" s="11" t="s">
        <v>465</v>
      </c>
      <c r="C71" s="11" t="s">
        <v>466</v>
      </c>
      <c r="D71" s="11" t="s">
        <v>467</v>
      </c>
      <c r="E71" s="11" t="s">
        <v>468</v>
      </c>
      <c r="F71" s="11" t="s">
        <v>35</v>
      </c>
      <c r="G71" s="11" t="s">
        <v>496</v>
      </c>
      <c r="H71" s="11" t="s">
        <v>21</v>
      </c>
    </row>
    <row r="72" spans="1:8" ht="29.25" thickBot="1" x14ac:dyDescent="0.3">
      <c r="A72" s="11" t="s">
        <v>112</v>
      </c>
      <c r="B72" s="11" t="s">
        <v>137</v>
      </c>
      <c r="C72" s="11" t="s">
        <v>138</v>
      </c>
      <c r="D72" s="11" t="s">
        <v>139</v>
      </c>
      <c r="E72" s="11" t="s">
        <v>140</v>
      </c>
      <c r="F72" s="11" t="s">
        <v>58</v>
      </c>
      <c r="G72" s="11" t="s">
        <v>496</v>
      </c>
      <c r="H72" s="11" t="s">
        <v>111</v>
      </c>
    </row>
    <row r="73" spans="1:8" ht="29.25" thickBot="1" x14ac:dyDescent="0.3">
      <c r="A73" s="11" t="s">
        <v>112</v>
      </c>
      <c r="B73" s="11" t="s">
        <v>137</v>
      </c>
      <c r="C73" s="11" t="s">
        <v>141</v>
      </c>
      <c r="D73" s="11" t="s">
        <v>142</v>
      </c>
      <c r="E73" s="11" t="s">
        <v>140</v>
      </c>
      <c r="F73" s="11" t="s">
        <v>58</v>
      </c>
      <c r="G73" s="11" t="s">
        <v>496</v>
      </c>
      <c r="H73" s="11" t="s">
        <v>111</v>
      </c>
    </row>
    <row r="74" spans="1:8" ht="29.25" thickBot="1" x14ac:dyDescent="0.3">
      <c r="A74" s="11" t="s">
        <v>112</v>
      </c>
      <c r="B74" s="11" t="s">
        <v>137</v>
      </c>
      <c r="C74" s="11" t="s">
        <v>143</v>
      </c>
      <c r="D74" s="11" t="s">
        <v>144</v>
      </c>
      <c r="E74" s="11" t="s">
        <v>145</v>
      </c>
      <c r="F74" s="11" t="s">
        <v>58</v>
      </c>
      <c r="G74" s="11" t="s">
        <v>496</v>
      </c>
      <c r="H74" s="11" t="s">
        <v>111</v>
      </c>
    </row>
    <row r="75" spans="1:8" ht="29.25" thickBot="1" x14ac:dyDescent="0.3">
      <c r="A75" s="11" t="s">
        <v>112</v>
      </c>
      <c r="B75" s="11" t="s">
        <v>137</v>
      </c>
      <c r="C75" s="11" t="s">
        <v>437</v>
      </c>
      <c r="D75" s="11" t="s">
        <v>438</v>
      </c>
      <c r="E75" s="11" t="s">
        <v>543</v>
      </c>
      <c r="F75" s="11" t="s">
        <v>35</v>
      </c>
      <c r="G75" s="11" t="s">
        <v>496</v>
      </c>
      <c r="H75" s="11" t="s">
        <v>15</v>
      </c>
    </row>
    <row r="76" spans="1:8" ht="43.5" thickBot="1" x14ac:dyDescent="0.3">
      <c r="A76" s="11" t="s">
        <v>112</v>
      </c>
      <c r="B76" s="11" t="s">
        <v>124</v>
      </c>
      <c r="C76" s="11" t="s">
        <v>125</v>
      </c>
      <c r="D76" s="11" t="s">
        <v>126</v>
      </c>
      <c r="E76" s="11" t="s">
        <v>127</v>
      </c>
      <c r="F76" s="11" t="s">
        <v>18</v>
      </c>
      <c r="G76" s="11" t="s">
        <v>525</v>
      </c>
      <c r="H76" s="11" t="s">
        <v>111</v>
      </c>
    </row>
    <row r="77" spans="1:8" ht="29.25" thickBot="1" x14ac:dyDescent="0.3">
      <c r="A77" s="11" t="s">
        <v>112</v>
      </c>
      <c r="B77" s="11" t="s">
        <v>124</v>
      </c>
      <c r="C77" s="11" t="s">
        <v>128</v>
      </c>
      <c r="D77" s="11" t="s">
        <v>526</v>
      </c>
      <c r="E77" s="11" t="s">
        <v>129</v>
      </c>
      <c r="F77" s="11" t="s">
        <v>58</v>
      </c>
      <c r="G77" s="11" t="s">
        <v>496</v>
      </c>
      <c r="H77" s="11" t="s">
        <v>111</v>
      </c>
    </row>
    <row r="78" spans="1:8" ht="43.5" thickBot="1" x14ac:dyDescent="0.3">
      <c r="A78" s="11" t="s">
        <v>112</v>
      </c>
      <c r="B78" s="11" t="s">
        <v>130</v>
      </c>
      <c r="C78" s="11" t="s">
        <v>131</v>
      </c>
      <c r="D78" s="11" t="s">
        <v>132</v>
      </c>
      <c r="E78" s="11" t="s">
        <v>127</v>
      </c>
      <c r="F78" s="11" t="s">
        <v>18</v>
      </c>
      <c r="G78" s="11" t="s">
        <v>527</v>
      </c>
      <c r="H78" s="11" t="s">
        <v>15</v>
      </c>
    </row>
    <row r="79" spans="1:8" ht="29.25" thickBot="1" x14ac:dyDescent="0.3">
      <c r="A79" s="11" t="s">
        <v>112</v>
      </c>
      <c r="B79" s="11" t="s">
        <v>130</v>
      </c>
      <c r="C79" s="11" t="s">
        <v>133</v>
      </c>
      <c r="D79" s="11" t="s">
        <v>134</v>
      </c>
      <c r="E79" s="11" t="s">
        <v>127</v>
      </c>
      <c r="F79" s="11" t="s">
        <v>18</v>
      </c>
      <c r="G79" s="11" t="s">
        <v>528</v>
      </c>
      <c r="H79" s="11" t="s">
        <v>15</v>
      </c>
    </row>
    <row r="80" spans="1:8" ht="43.5" thickBot="1" x14ac:dyDescent="0.3">
      <c r="A80" s="11" t="s">
        <v>112</v>
      </c>
      <c r="B80" s="11" t="s">
        <v>130</v>
      </c>
      <c r="C80" s="11" t="s">
        <v>135</v>
      </c>
      <c r="D80" s="11" t="s">
        <v>136</v>
      </c>
      <c r="E80" s="11" t="s">
        <v>127</v>
      </c>
      <c r="F80" s="11" t="s">
        <v>49</v>
      </c>
      <c r="G80" s="11" t="s">
        <v>529</v>
      </c>
      <c r="H80" s="11" t="s">
        <v>111</v>
      </c>
    </row>
    <row r="81" spans="1:8" ht="57.75" thickBot="1" x14ac:dyDescent="0.3">
      <c r="A81" s="11" t="s">
        <v>112</v>
      </c>
      <c r="B81" s="11" t="s">
        <v>155</v>
      </c>
      <c r="C81" s="11" t="s">
        <v>156</v>
      </c>
      <c r="D81" s="11" t="s">
        <v>157</v>
      </c>
      <c r="E81" s="11" t="s">
        <v>158</v>
      </c>
      <c r="F81" s="11" t="s">
        <v>49</v>
      </c>
      <c r="G81" s="11" t="s">
        <v>530</v>
      </c>
      <c r="H81" s="11" t="s">
        <v>15</v>
      </c>
    </row>
    <row r="82" spans="1:8" ht="29.25" thickBot="1" x14ac:dyDescent="0.3">
      <c r="A82" s="11" t="s">
        <v>112</v>
      </c>
      <c r="B82" s="11" t="s">
        <v>155</v>
      </c>
      <c r="C82" s="11" t="s">
        <v>159</v>
      </c>
      <c r="D82" s="11" t="s">
        <v>160</v>
      </c>
      <c r="E82" s="11" t="s">
        <v>158</v>
      </c>
      <c r="F82" s="11" t="s">
        <v>35</v>
      </c>
      <c r="G82" s="11" t="s">
        <v>496</v>
      </c>
      <c r="H82" s="11" t="s">
        <v>15</v>
      </c>
    </row>
    <row r="83" spans="1:8" ht="43.5" thickBot="1" x14ac:dyDescent="0.3">
      <c r="A83" s="11" t="s">
        <v>112</v>
      </c>
      <c r="B83" s="11" t="s">
        <v>155</v>
      </c>
      <c r="C83" s="11" t="s">
        <v>161</v>
      </c>
      <c r="D83" s="11" t="s">
        <v>162</v>
      </c>
      <c r="E83" s="11" t="s">
        <v>544</v>
      </c>
      <c r="F83" s="11" t="s">
        <v>49</v>
      </c>
      <c r="G83" s="11" t="s">
        <v>531</v>
      </c>
      <c r="H83" s="11" t="s">
        <v>15</v>
      </c>
    </row>
    <row r="84" spans="1:8" ht="43.5" thickBot="1" x14ac:dyDescent="0.3">
      <c r="A84" s="11" t="s">
        <v>112</v>
      </c>
      <c r="B84" s="11" t="s">
        <v>431</v>
      </c>
      <c r="C84" s="11" t="s">
        <v>432</v>
      </c>
      <c r="D84" s="11" t="s">
        <v>433</v>
      </c>
      <c r="E84" s="11" t="s">
        <v>545</v>
      </c>
      <c r="F84" s="11" t="s">
        <v>18</v>
      </c>
      <c r="G84" s="11" t="s">
        <v>532</v>
      </c>
      <c r="H84" s="11" t="s">
        <v>15</v>
      </c>
    </row>
    <row r="85" spans="1:8" ht="29.25" thickBot="1" x14ac:dyDescent="0.3">
      <c r="A85" s="11" t="s">
        <v>112</v>
      </c>
      <c r="B85" s="11" t="s">
        <v>431</v>
      </c>
      <c r="C85" s="11" t="s">
        <v>434</v>
      </c>
      <c r="D85" s="11" t="s">
        <v>435</v>
      </c>
      <c r="E85" s="11" t="s">
        <v>546</v>
      </c>
      <c r="F85" s="11" t="s">
        <v>35</v>
      </c>
      <c r="G85" s="11" t="s">
        <v>496</v>
      </c>
      <c r="H85" s="11" t="s">
        <v>15</v>
      </c>
    </row>
    <row r="86" spans="1:8" ht="29.25" thickBot="1" x14ac:dyDescent="0.3">
      <c r="A86" s="11" t="s">
        <v>112</v>
      </c>
      <c r="B86" s="11" t="s">
        <v>113</v>
      </c>
      <c r="C86" s="11" t="s">
        <v>114</v>
      </c>
      <c r="D86" s="11" t="s">
        <v>115</v>
      </c>
      <c r="E86" s="11" t="s">
        <v>92</v>
      </c>
      <c r="F86" s="11" t="s">
        <v>35</v>
      </c>
      <c r="G86" s="11" t="s">
        <v>496</v>
      </c>
      <c r="H86" s="11" t="s">
        <v>15</v>
      </c>
    </row>
    <row r="87" spans="1:8" ht="29.25" thickBot="1" x14ac:dyDescent="0.3">
      <c r="A87" s="11" t="s">
        <v>112</v>
      </c>
      <c r="B87" s="11" t="s">
        <v>113</v>
      </c>
      <c r="C87" s="11" t="s">
        <v>116</v>
      </c>
      <c r="D87" s="11" t="s">
        <v>117</v>
      </c>
      <c r="E87" s="11" t="s">
        <v>92</v>
      </c>
      <c r="F87" s="11" t="s">
        <v>35</v>
      </c>
      <c r="G87" s="11" t="s">
        <v>496</v>
      </c>
      <c r="H87" s="11" t="s">
        <v>15</v>
      </c>
    </row>
    <row r="88" spans="1:8" ht="29.25" thickBot="1" x14ac:dyDescent="0.3">
      <c r="A88" s="11" t="s">
        <v>112</v>
      </c>
      <c r="B88" s="11" t="s">
        <v>113</v>
      </c>
      <c r="C88" s="11" t="s">
        <v>122</v>
      </c>
      <c r="D88" s="11" t="s">
        <v>123</v>
      </c>
      <c r="E88" s="11" t="s">
        <v>92</v>
      </c>
      <c r="F88" s="11" t="s">
        <v>35</v>
      </c>
      <c r="G88" s="11" t="s">
        <v>496</v>
      </c>
      <c r="H88" s="11" t="s">
        <v>15</v>
      </c>
    </row>
    <row r="89" spans="1:8" ht="29.25" thickBot="1" x14ac:dyDescent="0.3">
      <c r="A89" s="11" t="s">
        <v>112</v>
      </c>
      <c r="B89" s="11" t="s">
        <v>175</v>
      </c>
      <c r="C89" s="11" t="s">
        <v>176</v>
      </c>
      <c r="D89" s="11" t="s">
        <v>412</v>
      </c>
      <c r="E89" s="11" t="s">
        <v>92</v>
      </c>
      <c r="F89" s="11" t="s">
        <v>35</v>
      </c>
      <c r="G89" s="11" t="s">
        <v>496</v>
      </c>
      <c r="H89" s="11" t="s">
        <v>21</v>
      </c>
    </row>
    <row r="90" spans="1:8" ht="57.75" thickBot="1" x14ac:dyDescent="0.3">
      <c r="A90" s="11" t="s">
        <v>112</v>
      </c>
      <c r="B90" s="11" t="s">
        <v>113</v>
      </c>
      <c r="C90" s="11" t="s">
        <v>118</v>
      </c>
      <c r="D90" s="11" t="s">
        <v>411</v>
      </c>
      <c r="E90" s="11" t="s">
        <v>92</v>
      </c>
      <c r="F90" s="11" t="s">
        <v>49</v>
      </c>
      <c r="G90" s="11" t="s">
        <v>533</v>
      </c>
      <c r="H90" s="11" t="s">
        <v>15</v>
      </c>
    </row>
    <row r="91" spans="1:8" ht="43.5" thickBot="1" x14ac:dyDescent="0.3">
      <c r="A91" s="11" t="s">
        <v>112</v>
      </c>
      <c r="B91" s="11" t="s">
        <v>119</v>
      </c>
      <c r="C91" s="11" t="s">
        <v>120</v>
      </c>
      <c r="D91" s="11" t="s">
        <v>121</v>
      </c>
      <c r="E91" s="11" t="s">
        <v>540</v>
      </c>
      <c r="F91" s="11" t="s">
        <v>49</v>
      </c>
      <c r="G91" s="11" t="s">
        <v>534</v>
      </c>
      <c r="H91" s="11" t="s">
        <v>15</v>
      </c>
    </row>
    <row r="92" spans="1:8" ht="43.5" thickBot="1" x14ac:dyDescent="0.3">
      <c r="A92" s="11" t="s">
        <v>112</v>
      </c>
      <c r="B92" s="11" t="s">
        <v>152</v>
      </c>
      <c r="C92" s="11" t="s">
        <v>153</v>
      </c>
      <c r="D92" s="11" t="s">
        <v>535</v>
      </c>
      <c r="E92" s="11" t="s">
        <v>129</v>
      </c>
      <c r="F92" s="11" t="s">
        <v>58</v>
      </c>
      <c r="G92" s="11" t="s">
        <v>496</v>
      </c>
      <c r="H92" s="11" t="s">
        <v>111</v>
      </c>
    </row>
    <row r="93" spans="1:8" ht="29.25" thickBot="1" x14ac:dyDescent="0.3">
      <c r="A93" s="11" t="s">
        <v>112</v>
      </c>
      <c r="B93" s="11" t="s">
        <v>152</v>
      </c>
      <c r="C93" s="11" t="s">
        <v>154</v>
      </c>
      <c r="D93" s="11" t="s">
        <v>536</v>
      </c>
      <c r="E93" s="11" t="s">
        <v>129</v>
      </c>
      <c r="F93" s="11" t="s">
        <v>58</v>
      </c>
      <c r="G93" s="11" t="s">
        <v>496</v>
      </c>
      <c r="H93" s="11" t="s">
        <v>111</v>
      </c>
    </row>
    <row r="94" spans="1:8" ht="43.5" thickBot="1" x14ac:dyDescent="0.3">
      <c r="A94" s="11" t="s">
        <v>112</v>
      </c>
      <c r="B94" s="11" t="s">
        <v>164</v>
      </c>
      <c r="C94" s="11" t="s">
        <v>453</v>
      </c>
      <c r="D94" s="11" t="s">
        <v>436</v>
      </c>
      <c r="E94" s="11" t="s">
        <v>547</v>
      </c>
      <c r="F94" s="11" t="s">
        <v>49</v>
      </c>
      <c r="G94" s="11" t="s">
        <v>537</v>
      </c>
      <c r="H94" s="11" t="s">
        <v>111</v>
      </c>
    </row>
    <row r="95" spans="1:8" ht="29.25" thickBot="1" x14ac:dyDescent="0.3">
      <c r="A95" s="11" t="s">
        <v>112</v>
      </c>
      <c r="B95" s="11" t="s">
        <v>164</v>
      </c>
      <c r="C95" s="11" t="s">
        <v>165</v>
      </c>
      <c r="D95" s="11" t="s">
        <v>166</v>
      </c>
      <c r="E95" s="11" t="s">
        <v>167</v>
      </c>
      <c r="F95" s="11" t="s">
        <v>58</v>
      </c>
      <c r="G95" s="11" t="s">
        <v>496</v>
      </c>
      <c r="H95" s="11" t="s">
        <v>15</v>
      </c>
    </row>
    <row r="96" spans="1:8" ht="29.25" thickBot="1" x14ac:dyDescent="0.3">
      <c r="A96" s="11" t="s">
        <v>112</v>
      </c>
      <c r="B96" s="11" t="s">
        <v>164</v>
      </c>
      <c r="C96" s="11" t="s">
        <v>168</v>
      </c>
      <c r="D96" s="11" t="s">
        <v>169</v>
      </c>
      <c r="E96" s="11" t="s">
        <v>167</v>
      </c>
      <c r="F96" s="11" t="s">
        <v>58</v>
      </c>
      <c r="G96" s="11" t="s">
        <v>496</v>
      </c>
      <c r="H96" s="11" t="s">
        <v>15</v>
      </c>
    </row>
    <row r="97" spans="1:8" ht="29.25" thickBot="1" x14ac:dyDescent="0.3">
      <c r="A97" s="11" t="s">
        <v>112</v>
      </c>
      <c r="B97" s="11" t="s">
        <v>164</v>
      </c>
      <c r="C97" s="11" t="s">
        <v>170</v>
      </c>
      <c r="D97" s="11" t="s">
        <v>171</v>
      </c>
      <c r="E97" s="11" t="s">
        <v>167</v>
      </c>
      <c r="F97" s="11" t="s">
        <v>58</v>
      </c>
      <c r="G97" s="11" t="s">
        <v>496</v>
      </c>
      <c r="H97" s="11" t="s">
        <v>21</v>
      </c>
    </row>
    <row r="98" spans="1:8" ht="29.25" thickBot="1" x14ac:dyDescent="0.3">
      <c r="A98" s="11" t="s">
        <v>410</v>
      </c>
      <c r="B98" s="11" t="s">
        <v>457</v>
      </c>
      <c r="C98" s="11" t="s">
        <v>200</v>
      </c>
      <c r="D98" s="11" t="s">
        <v>201</v>
      </c>
      <c r="E98" s="11" t="s">
        <v>81</v>
      </c>
      <c r="F98" s="11" t="s">
        <v>14</v>
      </c>
      <c r="G98" s="11" t="s">
        <v>496</v>
      </c>
      <c r="H98" s="11" t="s">
        <v>15</v>
      </c>
    </row>
    <row r="99" spans="1:8" ht="29.25" thickBot="1" x14ac:dyDescent="0.3">
      <c r="A99" s="11" t="s">
        <v>410</v>
      </c>
      <c r="B99" s="11" t="s">
        <v>457</v>
      </c>
      <c r="C99" s="11" t="s">
        <v>202</v>
      </c>
      <c r="D99" s="11" t="s">
        <v>203</v>
      </c>
      <c r="E99" s="11" t="s">
        <v>81</v>
      </c>
      <c r="F99" s="11" t="s">
        <v>14</v>
      </c>
      <c r="G99" s="11" t="s">
        <v>496</v>
      </c>
      <c r="H99" s="11" t="s">
        <v>15</v>
      </c>
    </row>
    <row r="100" spans="1:8" ht="29.25" thickBot="1" x14ac:dyDescent="0.3">
      <c r="A100" s="11" t="s">
        <v>410</v>
      </c>
      <c r="B100" s="11" t="s">
        <v>439</v>
      </c>
      <c r="C100" s="11" t="s">
        <v>440</v>
      </c>
      <c r="D100" s="11" t="s">
        <v>441</v>
      </c>
      <c r="E100" s="11" t="s">
        <v>81</v>
      </c>
      <c r="F100" s="11" t="s">
        <v>14</v>
      </c>
      <c r="G100" s="11" t="s">
        <v>496</v>
      </c>
      <c r="H100" s="11" t="s">
        <v>15</v>
      </c>
    </row>
    <row r="101" spans="1:8" ht="29.25" thickBot="1" x14ac:dyDescent="0.3">
      <c r="A101" s="11" t="s">
        <v>410</v>
      </c>
      <c r="B101" s="11" t="s">
        <v>222</v>
      </c>
      <c r="C101" s="11" t="s">
        <v>223</v>
      </c>
      <c r="D101" s="11" t="s">
        <v>224</v>
      </c>
      <c r="E101" s="11" t="s">
        <v>497</v>
      </c>
      <c r="F101" s="11" t="s">
        <v>14</v>
      </c>
      <c r="G101" s="11" t="s">
        <v>496</v>
      </c>
      <c r="H101" s="11" t="s">
        <v>21</v>
      </c>
    </row>
    <row r="102" spans="1:8" ht="29.25" thickBot="1" x14ac:dyDescent="0.3">
      <c r="A102" s="11" t="s">
        <v>410</v>
      </c>
      <c r="B102" s="11" t="s">
        <v>222</v>
      </c>
      <c r="C102" s="11" t="s">
        <v>225</v>
      </c>
      <c r="D102" s="11" t="s">
        <v>226</v>
      </c>
      <c r="E102" s="11" t="s">
        <v>81</v>
      </c>
      <c r="F102" s="11" t="s">
        <v>14</v>
      </c>
      <c r="G102" s="11" t="s">
        <v>496</v>
      </c>
      <c r="H102" s="11" t="s">
        <v>21</v>
      </c>
    </row>
    <row r="103" spans="1:8" ht="72" thickBot="1" x14ac:dyDescent="0.3">
      <c r="A103" s="11" t="s">
        <v>410</v>
      </c>
      <c r="B103" s="11" t="s">
        <v>222</v>
      </c>
      <c r="C103" s="11" t="s">
        <v>227</v>
      </c>
      <c r="D103" s="11" t="s">
        <v>228</v>
      </c>
      <c r="E103" s="11" t="s">
        <v>81</v>
      </c>
      <c r="F103" s="11" t="s">
        <v>18</v>
      </c>
      <c r="G103" s="11" t="s">
        <v>484</v>
      </c>
      <c r="H103" s="11" t="s">
        <v>15</v>
      </c>
    </row>
    <row r="104" spans="1:8" ht="57.75" thickBot="1" x14ac:dyDescent="0.3">
      <c r="A104" s="11" t="s">
        <v>410</v>
      </c>
      <c r="B104" s="11" t="s">
        <v>282</v>
      </c>
      <c r="C104" s="11" t="s">
        <v>458</v>
      </c>
      <c r="D104" s="11" t="s">
        <v>461</v>
      </c>
      <c r="E104" s="11" t="s">
        <v>81</v>
      </c>
      <c r="F104" s="11" t="s">
        <v>18</v>
      </c>
      <c r="G104" s="11" t="s">
        <v>485</v>
      </c>
      <c r="H104" s="11" t="s">
        <v>111</v>
      </c>
    </row>
    <row r="105" spans="1:8" ht="57.75" thickBot="1" x14ac:dyDescent="0.3">
      <c r="A105" s="11" t="s">
        <v>410</v>
      </c>
      <c r="B105" s="11" t="s">
        <v>282</v>
      </c>
      <c r="C105" s="11" t="s">
        <v>459</v>
      </c>
      <c r="D105" s="11" t="s">
        <v>462</v>
      </c>
      <c r="E105" s="11" t="s">
        <v>81</v>
      </c>
      <c r="F105" s="11" t="s">
        <v>18</v>
      </c>
      <c r="G105" s="11" t="s">
        <v>485</v>
      </c>
      <c r="H105" s="11" t="s">
        <v>15</v>
      </c>
    </row>
    <row r="106" spans="1:8" ht="57.75" thickBot="1" x14ac:dyDescent="0.3">
      <c r="A106" s="11" t="s">
        <v>410</v>
      </c>
      <c r="B106" s="11" t="s">
        <v>282</v>
      </c>
      <c r="C106" s="11" t="s">
        <v>460</v>
      </c>
      <c r="D106" s="11" t="s">
        <v>463</v>
      </c>
      <c r="E106" s="11" t="s">
        <v>81</v>
      </c>
      <c r="F106" s="11" t="s">
        <v>18</v>
      </c>
      <c r="G106" s="11" t="s">
        <v>485</v>
      </c>
      <c r="H106" s="11" t="s">
        <v>15</v>
      </c>
    </row>
    <row r="107" spans="1:8" ht="72" thickBot="1" x14ac:dyDescent="0.3">
      <c r="A107" s="11" t="s">
        <v>229</v>
      </c>
      <c r="B107" s="11" t="s">
        <v>292</v>
      </c>
      <c r="C107" s="11" t="s">
        <v>299</v>
      </c>
      <c r="D107" s="11" t="s">
        <v>300</v>
      </c>
      <c r="E107" s="11" t="s">
        <v>497</v>
      </c>
      <c r="F107" s="11" t="s">
        <v>455</v>
      </c>
      <c r="G107" s="11" t="s">
        <v>486</v>
      </c>
      <c r="H107" s="11" t="s">
        <v>15</v>
      </c>
    </row>
    <row r="108" spans="1:8" ht="57.75" thickBot="1" x14ac:dyDescent="0.3">
      <c r="A108" s="11" t="s">
        <v>229</v>
      </c>
      <c r="B108" s="11" t="s">
        <v>301</v>
      </c>
      <c r="C108" s="11" t="s">
        <v>305</v>
      </c>
      <c r="D108" s="11" t="s">
        <v>306</v>
      </c>
      <c r="E108" s="11" t="s">
        <v>523</v>
      </c>
      <c r="F108" s="11" t="s">
        <v>32</v>
      </c>
      <c r="G108" s="11" t="s">
        <v>487</v>
      </c>
      <c r="H108" s="11" t="s">
        <v>15</v>
      </c>
    </row>
    <row r="109" spans="1:8" ht="72" thickBot="1" x14ac:dyDescent="0.3">
      <c r="A109" s="11" t="s">
        <v>229</v>
      </c>
      <c r="B109" s="11" t="s">
        <v>259</v>
      </c>
      <c r="C109" s="11" t="s">
        <v>260</v>
      </c>
      <c r="D109" s="11" t="s">
        <v>261</v>
      </c>
      <c r="E109" s="11" t="s">
        <v>497</v>
      </c>
      <c r="F109" s="11" t="s">
        <v>455</v>
      </c>
      <c r="G109" s="11" t="s">
        <v>488</v>
      </c>
      <c r="H109" s="11" t="s">
        <v>15</v>
      </c>
    </row>
    <row r="110" spans="1:8" ht="157.5" thickBot="1" x14ac:dyDescent="0.3">
      <c r="A110" s="11" t="s">
        <v>229</v>
      </c>
      <c r="B110" s="11" t="s">
        <v>282</v>
      </c>
      <c r="C110" s="11" t="s">
        <v>444</v>
      </c>
      <c r="D110" s="11" t="s">
        <v>445</v>
      </c>
      <c r="E110" s="11" t="s">
        <v>548</v>
      </c>
      <c r="F110" s="11" t="s">
        <v>18</v>
      </c>
      <c r="G110" s="11" t="s">
        <v>495</v>
      </c>
      <c r="H110" s="11" t="s">
        <v>15</v>
      </c>
    </row>
    <row r="111" spans="1:8" ht="29.25" thickBot="1" x14ac:dyDescent="0.3">
      <c r="A111" s="11" t="s">
        <v>229</v>
      </c>
      <c r="B111" s="11" t="s">
        <v>320</v>
      </c>
      <c r="C111" s="11" t="s">
        <v>321</v>
      </c>
      <c r="D111" s="11" t="s">
        <v>322</v>
      </c>
      <c r="E111" s="11" t="s">
        <v>57</v>
      </c>
      <c r="F111" s="11" t="s">
        <v>58</v>
      </c>
      <c r="G111" s="11" t="s">
        <v>496</v>
      </c>
      <c r="H111" s="11" t="s">
        <v>111</v>
      </c>
    </row>
    <row r="112" spans="1:8" ht="29.25" thickBot="1" x14ac:dyDescent="0.3">
      <c r="A112" s="11" t="s">
        <v>229</v>
      </c>
      <c r="B112" s="11" t="s">
        <v>320</v>
      </c>
      <c r="C112" s="11" t="s">
        <v>323</v>
      </c>
      <c r="D112" s="11" t="s">
        <v>324</v>
      </c>
      <c r="E112" s="11" t="s">
        <v>57</v>
      </c>
      <c r="F112" s="11" t="s">
        <v>58</v>
      </c>
      <c r="G112" s="11" t="s">
        <v>496</v>
      </c>
      <c r="H112" s="11" t="s">
        <v>111</v>
      </c>
    </row>
    <row r="113" spans="1:8" ht="29.25" thickBot="1" x14ac:dyDescent="0.3">
      <c r="A113" s="11" t="s">
        <v>229</v>
      </c>
      <c r="B113" s="11" t="s">
        <v>320</v>
      </c>
      <c r="C113" s="11" t="s">
        <v>399</v>
      </c>
      <c r="D113" s="11" t="s">
        <v>325</v>
      </c>
      <c r="E113" s="11" t="s">
        <v>57</v>
      </c>
      <c r="F113" s="11" t="s">
        <v>58</v>
      </c>
      <c r="G113" s="11" t="s">
        <v>496</v>
      </c>
      <c r="H113" s="11" t="s">
        <v>15</v>
      </c>
    </row>
    <row r="114" spans="1:8" ht="29.25" thickBot="1" x14ac:dyDescent="0.3">
      <c r="A114" s="11" t="s">
        <v>229</v>
      </c>
      <c r="B114" s="11" t="s">
        <v>301</v>
      </c>
      <c r="C114" s="11" t="s">
        <v>302</v>
      </c>
      <c r="D114" s="11" t="s">
        <v>303</v>
      </c>
      <c r="E114" s="11" t="s">
        <v>549</v>
      </c>
      <c r="F114" s="11" t="s">
        <v>58</v>
      </c>
      <c r="G114" s="11" t="s">
        <v>496</v>
      </c>
      <c r="H114" s="11" t="s">
        <v>111</v>
      </c>
    </row>
    <row r="115" spans="1:8" ht="29.25" thickBot="1" x14ac:dyDescent="0.3">
      <c r="A115" s="11" t="s">
        <v>229</v>
      </c>
      <c r="B115" s="11" t="s">
        <v>283</v>
      </c>
      <c r="C115" s="11" t="s">
        <v>284</v>
      </c>
      <c r="D115" s="11" t="s">
        <v>285</v>
      </c>
      <c r="E115" s="11" t="s">
        <v>550</v>
      </c>
      <c r="F115" s="11" t="s">
        <v>58</v>
      </c>
      <c r="G115" s="11" t="s">
        <v>496</v>
      </c>
      <c r="H115" s="11" t="s">
        <v>15</v>
      </c>
    </row>
    <row r="116" spans="1:8" ht="29.25" thickBot="1" x14ac:dyDescent="0.3">
      <c r="A116" s="11" t="s">
        <v>229</v>
      </c>
      <c r="B116" s="11" t="s">
        <v>283</v>
      </c>
      <c r="C116" s="11" t="s">
        <v>287</v>
      </c>
      <c r="D116" s="11" t="s">
        <v>288</v>
      </c>
      <c r="E116" s="11" t="s">
        <v>167</v>
      </c>
      <c r="F116" s="11" t="s">
        <v>58</v>
      </c>
      <c r="G116" s="11" t="s">
        <v>496</v>
      </c>
      <c r="H116" s="11" t="s">
        <v>15</v>
      </c>
    </row>
    <row r="117" spans="1:8" ht="43.5" thickBot="1" x14ac:dyDescent="0.3">
      <c r="A117" s="11" t="s">
        <v>229</v>
      </c>
      <c r="B117" s="11" t="s">
        <v>301</v>
      </c>
      <c r="C117" s="11" t="s">
        <v>308</v>
      </c>
      <c r="D117" s="11" t="s">
        <v>309</v>
      </c>
      <c r="E117" s="11" t="s">
        <v>551</v>
      </c>
      <c r="F117" s="11" t="s">
        <v>58</v>
      </c>
      <c r="G117" s="11" t="s">
        <v>496</v>
      </c>
      <c r="H117" s="11" t="s">
        <v>111</v>
      </c>
    </row>
  </sheetData>
  <autoFilter ref="A1:H117" xr:uid="{F8892926-E8FC-4E51-8265-E6D97D7EE35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D540-3880-42BF-AF4C-FDC3EA001D91}">
  <dimension ref="A3:I48"/>
  <sheetViews>
    <sheetView workbookViewId="0">
      <selection activeCell="F1" sqref="A1:F1048576"/>
    </sheetView>
  </sheetViews>
  <sheetFormatPr defaultRowHeight="15" x14ac:dyDescent="0.25"/>
  <cols>
    <col min="1" max="1" width="41.140625" bestFit="1" customWidth="1"/>
    <col min="2" max="2" width="16.85546875" bestFit="1" customWidth="1"/>
    <col min="3" max="3" width="8.28515625" bestFit="1" customWidth="1"/>
    <col min="4" max="4" width="6" bestFit="1" customWidth="1"/>
    <col min="5" max="6" width="11.28515625" bestFit="1" customWidth="1"/>
    <col min="7" max="7" width="20.5703125" customWidth="1"/>
    <col min="8" max="8" width="9.5703125" bestFit="1" customWidth="1"/>
  </cols>
  <sheetData>
    <row r="3" spans="1:9" x14ac:dyDescent="0.25">
      <c r="A3" s="6" t="s">
        <v>326</v>
      </c>
      <c r="B3" t="s">
        <v>327</v>
      </c>
    </row>
    <row r="4" spans="1:9" x14ac:dyDescent="0.25">
      <c r="A4" s="7" t="s">
        <v>14</v>
      </c>
      <c r="B4">
        <v>44</v>
      </c>
    </row>
    <row r="5" spans="1:9" x14ac:dyDescent="0.25">
      <c r="A5" s="7" t="s">
        <v>62</v>
      </c>
      <c r="B5">
        <v>2</v>
      </c>
    </row>
    <row r="6" spans="1:9" x14ac:dyDescent="0.25">
      <c r="A6" s="7" t="s">
        <v>18</v>
      </c>
      <c r="B6">
        <v>24</v>
      </c>
    </row>
    <row r="7" spans="1:9" x14ac:dyDescent="0.25">
      <c r="A7" s="7" t="s">
        <v>32</v>
      </c>
      <c r="B7">
        <v>1</v>
      </c>
    </row>
    <row r="8" spans="1:9" x14ac:dyDescent="0.25">
      <c r="A8" s="7" t="s">
        <v>35</v>
      </c>
      <c r="B8">
        <v>15</v>
      </c>
    </row>
    <row r="9" spans="1:9" x14ac:dyDescent="0.25">
      <c r="A9" s="7" t="s">
        <v>49</v>
      </c>
      <c r="B9">
        <v>10</v>
      </c>
    </row>
    <row r="10" spans="1:9" x14ac:dyDescent="0.25">
      <c r="A10" s="7" t="s">
        <v>58</v>
      </c>
      <c r="B10">
        <v>29</v>
      </c>
    </row>
    <row r="11" spans="1:9" x14ac:dyDescent="0.25">
      <c r="A11" s="7" t="s">
        <v>328</v>
      </c>
      <c r="B11">
        <v>125</v>
      </c>
    </row>
    <row r="14" spans="1:9" x14ac:dyDescent="0.25">
      <c r="A14" s="7" t="s">
        <v>416</v>
      </c>
      <c r="G14" t="s">
        <v>415</v>
      </c>
    </row>
    <row r="15" spans="1:9" x14ac:dyDescent="0.25">
      <c r="B15" s="9" t="s">
        <v>329</v>
      </c>
      <c r="C15" s="9" t="s">
        <v>330</v>
      </c>
      <c r="H15" s="9" t="s">
        <v>329</v>
      </c>
      <c r="I15" s="9" t="s">
        <v>330</v>
      </c>
    </row>
    <row r="16" spans="1:9" x14ac:dyDescent="0.25">
      <c r="A16" s="5" t="s">
        <v>14</v>
      </c>
      <c r="B16" s="8">
        <f>SUM(B4:B7)</f>
        <v>71</v>
      </c>
      <c r="C16" s="8"/>
      <c r="G16" s="5" t="s">
        <v>14</v>
      </c>
      <c r="H16" s="8">
        <f>SUM(E40:E43)+GETPIVOTDATA("L3 Process Name",$A$38,"IT Release","IT Release 1 (retouched in IT Release 2 and 3)")</f>
        <v>72</v>
      </c>
      <c r="I16" s="8"/>
    </row>
    <row r="17" spans="1:9" x14ac:dyDescent="0.25">
      <c r="A17" s="5" t="s">
        <v>35</v>
      </c>
      <c r="B17" s="8">
        <f>SUM(B8:B9)</f>
        <v>25</v>
      </c>
      <c r="C17" s="8">
        <f>GETPIVOTDATA("IT Release",$A$3,"IT Release","IT Release 1 (retouched in IT Release 2)")</f>
        <v>24</v>
      </c>
      <c r="G17" s="5" t="s">
        <v>35</v>
      </c>
      <c r="H17" s="8">
        <f>GETPIVOTDATA("L3 Process Name",$A$38,"IT Release","IT Release 2")+GETPIVOTDATA("L3 Process Name",$A$38,"IT Release","IT Release 2 (retouched in IT Release 3)")</f>
        <v>23</v>
      </c>
      <c r="I17" s="8">
        <f>GETPIVOTDATA("L3 Process Name",$A$38,"IT Release","IT Release 1 (retouched in IT Release 2)")+GETPIVOTDATA("L3 Process Name",$A$38,"IT Release","IT Release 1 (retouched in IT Release 2 and 3)")</f>
        <v>22</v>
      </c>
    </row>
    <row r="18" spans="1:9" x14ac:dyDescent="0.25">
      <c r="A18" s="5" t="s">
        <v>58</v>
      </c>
      <c r="B18" s="8">
        <f>GETPIVOTDATA("IT Release",$A$3,"IT Release","IT Release 3")</f>
        <v>29</v>
      </c>
      <c r="C18" s="8">
        <f>GETPIVOTDATA("IT Release",$A$3,"IT Release","IT Release 1 (retouched in IT Release 3)")+GETPIVOTDATA("IT Release",$A$3,"IT Release","IT Release 2 (retouched in IT Release 3)")</f>
        <v>11</v>
      </c>
      <c r="G18" s="5" t="s">
        <v>58</v>
      </c>
      <c r="H18" s="8">
        <f>GETPIVOTDATA("L3 Process Name",$A$38,"IT Release","IT Release 3")</f>
        <v>21</v>
      </c>
      <c r="I18" s="8">
        <f>GETPIVOTDATA("L3 Process Name",$A$38,"IT Release","IT Release 1 (retouched in IT Release 3)")+GETPIVOTDATA("L3 Process Name",$A$38,"IT Release","IT Release 2 (retouched in IT Release 3)")+GETPIVOTDATA("L3 Process Name",$A$38,"IT Release","IT Release 1 (retouched in IT Release 2 and 3)")</f>
        <v>12</v>
      </c>
    </row>
    <row r="21" spans="1:9" x14ac:dyDescent="0.25">
      <c r="B21" s="9" t="s">
        <v>21</v>
      </c>
      <c r="C21" s="9" t="s">
        <v>15</v>
      </c>
      <c r="D21" s="9" t="s">
        <v>111</v>
      </c>
    </row>
    <row r="22" spans="1:9" x14ac:dyDescent="0.25">
      <c r="A22" s="5" t="s">
        <v>14</v>
      </c>
      <c r="B22" s="8">
        <f>SUM(B29:B32)</f>
        <v>18</v>
      </c>
      <c r="C22" s="8">
        <f>SUM(C29:C32)</f>
        <v>50</v>
      </c>
      <c r="D22" s="8">
        <f>SUM(D29:D32)</f>
        <v>3</v>
      </c>
    </row>
    <row r="23" spans="1:9" x14ac:dyDescent="0.25">
      <c r="A23" s="5" t="s">
        <v>35</v>
      </c>
      <c r="B23" s="8">
        <f>SUM(B33:B34)</f>
        <v>4</v>
      </c>
      <c r="C23" s="8">
        <f>SUM(C33:C34)</f>
        <v>18</v>
      </c>
      <c r="D23" s="8">
        <f>SUM(D33:D34)</f>
        <v>3</v>
      </c>
    </row>
    <row r="24" spans="1:9" x14ac:dyDescent="0.25">
      <c r="A24" s="5" t="s">
        <v>58</v>
      </c>
      <c r="B24" s="8">
        <f>GETPIVOTDATA("L3 Process Name",$A$27,"IT Release","IT Release 3","BRD Size","Small")</f>
        <v>1</v>
      </c>
      <c r="C24" s="8">
        <f>GETPIVOTDATA("L3 Process Name",$A$27,"IT Release","IT Release 3","BRD Size","Medium")</f>
        <v>15</v>
      </c>
      <c r="D24" s="8">
        <f>GETPIVOTDATA("L3 Process Name",$A$27,"IT Release","IT Release 3","BRD Size","Large")</f>
        <v>13</v>
      </c>
    </row>
    <row r="27" spans="1:9" x14ac:dyDescent="0.25">
      <c r="A27" s="6" t="s">
        <v>331</v>
      </c>
      <c r="B27" s="6" t="s">
        <v>332</v>
      </c>
    </row>
    <row r="28" spans="1:9" x14ac:dyDescent="0.25">
      <c r="A28" s="6" t="s">
        <v>326</v>
      </c>
      <c r="B28" t="s">
        <v>21</v>
      </c>
      <c r="C28" t="s">
        <v>15</v>
      </c>
      <c r="D28" t="s">
        <v>111</v>
      </c>
      <c r="E28" t="s">
        <v>328</v>
      </c>
    </row>
    <row r="29" spans="1:9" x14ac:dyDescent="0.25">
      <c r="A29" s="7" t="s">
        <v>14</v>
      </c>
      <c r="B29" s="8">
        <v>16</v>
      </c>
      <c r="C29" s="8">
        <v>27</v>
      </c>
      <c r="D29" s="8">
        <v>1</v>
      </c>
      <c r="E29" s="8">
        <v>44</v>
      </c>
    </row>
    <row r="30" spans="1:9" x14ac:dyDescent="0.25">
      <c r="A30" s="7" t="s">
        <v>62</v>
      </c>
      <c r="B30" s="8">
        <v>1</v>
      </c>
      <c r="C30" s="8">
        <v>1</v>
      </c>
      <c r="D30" s="8"/>
      <c r="E30" s="8">
        <v>2</v>
      </c>
    </row>
    <row r="31" spans="1:9" x14ac:dyDescent="0.25">
      <c r="A31" s="7" t="s">
        <v>18</v>
      </c>
      <c r="B31" s="8">
        <v>1</v>
      </c>
      <c r="C31" s="8">
        <v>21</v>
      </c>
      <c r="D31" s="8">
        <v>2</v>
      </c>
      <c r="E31" s="8">
        <v>24</v>
      </c>
    </row>
    <row r="32" spans="1:9" x14ac:dyDescent="0.25">
      <c r="A32" s="7" t="s">
        <v>32</v>
      </c>
      <c r="B32" s="8"/>
      <c r="C32" s="8">
        <v>1</v>
      </c>
      <c r="D32" s="8"/>
      <c r="E32" s="8">
        <v>1</v>
      </c>
    </row>
    <row r="33" spans="1:5" x14ac:dyDescent="0.25">
      <c r="A33" s="7" t="s">
        <v>35</v>
      </c>
      <c r="B33" s="8">
        <v>3</v>
      </c>
      <c r="C33" s="8">
        <v>11</v>
      </c>
      <c r="D33" s="8">
        <v>1</v>
      </c>
      <c r="E33" s="8">
        <v>15</v>
      </c>
    </row>
    <row r="34" spans="1:5" x14ac:dyDescent="0.25">
      <c r="A34" s="7" t="s">
        <v>49</v>
      </c>
      <c r="B34" s="8">
        <v>1</v>
      </c>
      <c r="C34" s="8">
        <v>7</v>
      </c>
      <c r="D34" s="8">
        <v>2</v>
      </c>
      <c r="E34" s="8">
        <v>10</v>
      </c>
    </row>
    <row r="35" spans="1:5" x14ac:dyDescent="0.25">
      <c r="A35" s="7" t="s">
        <v>58</v>
      </c>
      <c r="B35" s="8">
        <v>1</v>
      </c>
      <c r="C35" s="8">
        <v>15</v>
      </c>
      <c r="D35" s="8">
        <v>13</v>
      </c>
      <c r="E35" s="8">
        <v>29</v>
      </c>
    </row>
    <row r="36" spans="1:5" x14ac:dyDescent="0.25">
      <c r="A36" s="7" t="s">
        <v>328</v>
      </c>
      <c r="B36" s="8">
        <v>23</v>
      </c>
      <c r="C36" s="8">
        <v>83</v>
      </c>
      <c r="D36" s="8">
        <v>19</v>
      </c>
      <c r="E36" s="8">
        <v>125</v>
      </c>
    </row>
    <row r="38" spans="1:5" x14ac:dyDescent="0.25">
      <c r="A38" s="6" t="s">
        <v>331</v>
      </c>
      <c r="B38" s="6" t="s">
        <v>332</v>
      </c>
    </row>
    <row r="39" spans="1:5" x14ac:dyDescent="0.25">
      <c r="A39" s="6" t="s">
        <v>326</v>
      </c>
      <c r="B39" t="s">
        <v>111</v>
      </c>
      <c r="C39" t="s">
        <v>15</v>
      </c>
      <c r="D39" t="s">
        <v>21</v>
      </c>
      <c r="E39" t="s">
        <v>328</v>
      </c>
    </row>
    <row r="40" spans="1:5" x14ac:dyDescent="0.25">
      <c r="A40" s="7" t="s">
        <v>14</v>
      </c>
      <c r="B40">
        <v>2</v>
      </c>
      <c r="C40">
        <v>28</v>
      </c>
      <c r="D40">
        <v>16</v>
      </c>
      <c r="E40">
        <v>46</v>
      </c>
    </row>
    <row r="41" spans="1:5" x14ac:dyDescent="0.25">
      <c r="A41" s="7" t="s">
        <v>62</v>
      </c>
      <c r="C41">
        <v>1</v>
      </c>
      <c r="D41">
        <v>1</v>
      </c>
      <c r="E41">
        <v>2</v>
      </c>
    </row>
    <row r="42" spans="1:5" x14ac:dyDescent="0.25">
      <c r="A42" s="7" t="s">
        <v>18</v>
      </c>
      <c r="B42">
        <v>2</v>
      </c>
      <c r="C42">
        <v>16</v>
      </c>
      <c r="D42">
        <v>2</v>
      </c>
      <c r="E42">
        <v>20</v>
      </c>
    </row>
    <row r="43" spans="1:5" x14ac:dyDescent="0.25">
      <c r="A43" s="7" t="s">
        <v>32</v>
      </c>
      <c r="C43">
        <v>2</v>
      </c>
      <c r="E43">
        <v>2</v>
      </c>
    </row>
    <row r="44" spans="1:5" x14ac:dyDescent="0.25">
      <c r="A44" s="7" t="s">
        <v>35</v>
      </c>
      <c r="B44">
        <v>2</v>
      </c>
      <c r="C44">
        <v>10</v>
      </c>
      <c r="D44">
        <v>3</v>
      </c>
      <c r="E44">
        <v>15</v>
      </c>
    </row>
    <row r="45" spans="1:5" x14ac:dyDescent="0.25">
      <c r="A45" s="7" t="s">
        <v>49</v>
      </c>
      <c r="B45">
        <v>2</v>
      </c>
      <c r="C45">
        <v>6</v>
      </c>
      <c r="E45">
        <v>8</v>
      </c>
    </row>
    <row r="46" spans="1:5" x14ac:dyDescent="0.25">
      <c r="A46" s="7" t="s">
        <v>58</v>
      </c>
      <c r="B46">
        <v>11</v>
      </c>
      <c r="C46">
        <v>9</v>
      </c>
      <c r="D46">
        <v>1</v>
      </c>
      <c r="E46">
        <v>21</v>
      </c>
    </row>
    <row r="47" spans="1:5" x14ac:dyDescent="0.25">
      <c r="A47" s="7" t="s">
        <v>455</v>
      </c>
      <c r="C47">
        <v>2</v>
      </c>
      <c r="E47">
        <v>2</v>
      </c>
    </row>
    <row r="48" spans="1:5" x14ac:dyDescent="0.25">
      <c r="A48" s="7" t="s">
        <v>328</v>
      </c>
      <c r="B48">
        <v>19</v>
      </c>
      <c r="C48">
        <v>74</v>
      </c>
      <c r="D48">
        <v>23</v>
      </c>
      <c r="E48">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84B1-2827-431B-9BB6-3A4D7786E114}">
  <dimension ref="A1:J45"/>
  <sheetViews>
    <sheetView workbookViewId="0">
      <selection activeCell="I3" sqref="I3"/>
    </sheetView>
  </sheetViews>
  <sheetFormatPr defaultRowHeight="15" x14ac:dyDescent="0.25"/>
  <cols>
    <col min="1" max="8" width="27.85546875" customWidth="1"/>
    <col min="9" max="9" width="30.7109375" customWidth="1"/>
  </cols>
  <sheetData>
    <row r="1" spans="1:9" x14ac:dyDescent="0.25">
      <c r="A1" s="1" t="s">
        <v>0</v>
      </c>
      <c r="B1" s="1" t="s">
        <v>1</v>
      </c>
      <c r="C1" s="1" t="s">
        <v>2</v>
      </c>
      <c r="D1" s="1" t="s">
        <v>3</v>
      </c>
      <c r="E1" s="1" t="s">
        <v>4</v>
      </c>
      <c r="F1" s="1" t="s">
        <v>5</v>
      </c>
      <c r="G1" s="1" t="s">
        <v>7</v>
      </c>
      <c r="H1" s="1" t="s">
        <v>8</v>
      </c>
      <c r="I1" s="1" t="s">
        <v>9</v>
      </c>
    </row>
    <row r="2" spans="1:9" ht="60" x14ac:dyDescent="0.25">
      <c r="A2" s="2" t="s">
        <v>181</v>
      </c>
      <c r="B2" s="2" t="s">
        <v>191</v>
      </c>
      <c r="C2" s="3" t="s">
        <v>406</v>
      </c>
      <c r="D2" s="2" t="s">
        <v>82</v>
      </c>
      <c r="E2" s="2" t="s">
        <v>81</v>
      </c>
      <c r="F2" s="2" t="s">
        <v>14</v>
      </c>
      <c r="G2" s="2" t="s">
        <v>496</v>
      </c>
      <c r="H2" s="2" t="s">
        <v>15</v>
      </c>
      <c r="I2" s="2" t="s">
        <v>499</v>
      </c>
    </row>
    <row r="3" spans="1:9" ht="75" x14ac:dyDescent="0.25">
      <c r="A3" s="2" t="s">
        <v>10</v>
      </c>
      <c r="B3" s="2" t="s">
        <v>26</v>
      </c>
      <c r="C3" s="3" t="s">
        <v>333</v>
      </c>
      <c r="D3" s="2" t="s">
        <v>334</v>
      </c>
      <c r="E3" s="2" t="s">
        <v>29</v>
      </c>
      <c r="F3" s="2" t="s">
        <v>35</v>
      </c>
      <c r="G3" s="2" t="s">
        <v>36</v>
      </c>
      <c r="H3" s="4" t="s">
        <v>335</v>
      </c>
      <c r="I3" s="4"/>
    </row>
    <row r="4" spans="1:9" ht="60" x14ac:dyDescent="0.25">
      <c r="A4" s="2" t="s">
        <v>10</v>
      </c>
      <c r="B4" s="2" t="s">
        <v>45</v>
      </c>
      <c r="C4" s="3" t="s">
        <v>336</v>
      </c>
      <c r="D4" s="2" t="s">
        <v>337</v>
      </c>
      <c r="E4" s="2" t="s">
        <v>52</v>
      </c>
      <c r="F4" s="2" t="s">
        <v>58</v>
      </c>
      <c r="G4" s="2" t="s">
        <v>338</v>
      </c>
      <c r="H4" s="4" t="s">
        <v>335</v>
      </c>
      <c r="I4" s="4"/>
    </row>
    <row r="5" spans="1:9" ht="120" x14ac:dyDescent="0.25">
      <c r="A5" s="2" t="s">
        <v>79</v>
      </c>
      <c r="B5" s="2" t="s">
        <v>80</v>
      </c>
      <c r="C5" s="3" t="s">
        <v>339</v>
      </c>
      <c r="D5" s="2" t="s">
        <v>340</v>
      </c>
      <c r="E5" s="2" t="s">
        <v>61</v>
      </c>
      <c r="F5" s="2" t="s">
        <v>14</v>
      </c>
      <c r="G5" s="2" t="s">
        <v>341</v>
      </c>
      <c r="H5" s="4" t="s">
        <v>335</v>
      </c>
      <c r="I5" s="4"/>
    </row>
    <row r="6" spans="1:9" ht="195" x14ac:dyDescent="0.25">
      <c r="A6" s="2" t="s">
        <v>79</v>
      </c>
      <c r="B6" s="2" t="s">
        <v>80</v>
      </c>
      <c r="C6" s="3" t="s">
        <v>342</v>
      </c>
      <c r="D6" s="2" t="s">
        <v>343</v>
      </c>
      <c r="E6" s="2" t="s">
        <v>61</v>
      </c>
      <c r="F6" s="2" t="s">
        <v>14</v>
      </c>
      <c r="G6" s="2" t="s">
        <v>341</v>
      </c>
      <c r="H6" s="4" t="s">
        <v>335</v>
      </c>
      <c r="I6" s="4" t="s">
        <v>344</v>
      </c>
    </row>
    <row r="7" spans="1:9" ht="105" x14ac:dyDescent="0.25">
      <c r="A7" s="2" t="s">
        <v>79</v>
      </c>
      <c r="B7" s="2" t="s">
        <v>83</v>
      </c>
      <c r="C7" s="3" t="s">
        <v>209</v>
      </c>
      <c r="D7" s="2" t="s">
        <v>345</v>
      </c>
      <c r="E7" s="2" t="s">
        <v>61</v>
      </c>
      <c r="F7" s="2" t="s">
        <v>14</v>
      </c>
      <c r="G7" s="2" t="s">
        <v>346</v>
      </c>
      <c r="H7" s="4" t="s">
        <v>335</v>
      </c>
      <c r="I7" s="4" t="s">
        <v>347</v>
      </c>
    </row>
    <row r="8" spans="1:9" ht="120" x14ac:dyDescent="0.25">
      <c r="A8" s="2" t="s">
        <v>79</v>
      </c>
      <c r="B8" s="2" t="s">
        <v>91</v>
      </c>
      <c r="C8" s="3" t="s">
        <v>348</v>
      </c>
      <c r="D8" s="2" t="s">
        <v>349</v>
      </c>
      <c r="E8" s="2" t="s">
        <v>81</v>
      </c>
      <c r="F8" s="2" t="s">
        <v>14</v>
      </c>
      <c r="G8" s="2" t="s">
        <v>341</v>
      </c>
      <c r="H8" s="4" t="s">
        <v>335</v>
      </c>
      <c r="I8" s="4"/>
    </row>
    <row r="9" spans="1:9" ht="120" x14ac:dyDescent="0.25">
      <c r="A9" s="2" t="s">
        <v>79</v>
      </c>
      <c r="B9" s="2" t="s">
        <v>103</v>
      </c>
      <c r="C9" s="3" t="s">
        <v>350</v>
      </c>
      <c r="D9" s="2" t="s">
        <v>351</v>
      </c>
      <c r="E9" s="2" t="s">
        <v>61</v>
      </c>
      <c r="F9" s="2" t="s">
        <v>14</v>
      </c>
      <c r="G9" s="4" t="s">
        <v>341</v>
      </c>
      <c r="H9" s="4" t="s">
        <v>335</v>
      </c>
      <c r="I9" s="4"/>
    </row>
    <row r="10" spans="1:9" ht="120" x14ac:dyDescent="0.25">
      <c r="A10" s="2" t="s">
        <v>79</v>
      </c>
      <c r="B10" s="2" t="s">
        <v>352</v>
      </c>
      <c r="C10" s="3" t="s">
        <v>353</v>
      </c>
      <c r="D10" s="2" t="s">
        <v>354</v>
      </c>
      <c r="E10" s="2" t="s">
        <v>61</v>
      </c>
      <c r="F10" s="2" t="s">
        <v>14</v>
      </c>
      <c r="G10" s="4" t="s">
        <v>341</v>
      </c>
      <c r="H10" s="4" t="s">
        <v>335</v>
      </c>
      <c r="I10" s="4"/>
    </row>
    <row r="11" spans="1:9" ht="120" x14ac:dyDescent="0.25">
      <c r="A11" s="2" t="s">
        <v>79</v>
      </c>
      <c r="B11" s="2" t="s">
        <v>352</v>
      </c>
      <c r="C11" s="3" t="s">
        <v>355</v>
      </c>
      <c r="D11" s="2" t="s">
        <v>356</v>
      </c>
      <c r="E11" s="2" t="s">
        <v>61</v>
      </c>
      <c r="F11" s="2" t="s">
        <v>14</v>
      </c>
      <c r="G11" s="4" t="s">
        <v>341</v>
      </c>
      <c r="H11" s="4" t="s">
        <v>335</v>
      </c>
      <c r="I11" s="4"/>
    </row>
    <row r="12" spans="1:9" ht="120" x14ac:dyDescent="0.25">
      <c r="A12" s="2" t="s">
        <v>79</v>
      </c>
      <c r="B12" s="2" t="s">
        <v>357</v>
      </c>
      <c r="C12" s="3" t="s">
        <v>358</v>
      </c>
      <c r="D12" s="2" t="s">
        <v>359</v>
      </c>
      <c r="E12" s="2" t="s">
        <v>61</v>
      </c>
      <c r="F12" s="2" t="s">
        <v>14</v>
      </c>
      <c r="G12" s="4" t="s">
        <v>341</v>
      </c>
      <c r="H12" s="4" t="s">
        <v>335</v>
      </c>
      <c r="I12" s="4"/>
    </row>
    <row r="13" spans="1:9" ht="90" x14ac:dyDescent="0.25">
      <c r="A13" s="2" t="s">
        <v>229</v>
      </c>
      <c r="B13" s="2" t="s">
        <v>250</v>
      </c>
      <c r="C13" s="3" t="s">
        <v>360</v>
      </c>
      <c r="D13" s="2" t="s">
        <v>361</v>
      </c>
      <c r="E13" s="2" t="s">
        <v>61</v>
      </c>
      <c r="F13" s="2" t="s">
        <v>35</v>
      </c>
      <c r="G13" s="2" t="s">
        <v>238</v>
      </c>
      <c r="H13" s="4" t="s">
        <v>335</v>
      </c>
      <c r="I13" s="2" t="s">
        <v>362</v>
      </c>
    </row>
    <row r="14" spans="1:9" ht="195" x14ac:dyDescent="0.25">
      <c r="A14" s="2" t="s">
        <v>79</v>
      </c>
      <c r="B14" s="2" t="s">
        <v>91</v>
      </c>
      <c r="C14" s="3" t="s">
        <v>363</v>
      </c>
      <c r="D14" s="2" t="s">
        <v>364</v>
      </c>
      <c r="E14" s="2" t="s">
        <v>61</v>
      </c>
      <c r="F14" s="2" t="s">
        <v>14</v>
      </c>
      <c r="G14" s="2" t="s">
        <v>365</v>
      </c>
      <c r="H14" s="4" t="s">
        <v>335</v>
      </c>
      <c r="I14" s="4" t="s">
        <v>366</v>
      </c>
    </row>
    <row r="15" spans="1:9" ht="75" x14ac:dyDescent="0.25">
      <c r="A15" s="2" t="s">
        <v>79</v>
      </c>
      <c r="B15" s="2" t="s">
        <v>93</v>
      </c>
      <c r="C15" s="3" t="s">
        <v>367</v>
      </c>
      <c r="D15" s="2" t="s">
        <v>368</v>
      </c>
      <c r="E15" s="2" t="s">
        <v>61</v>
      </c>
      <c r="F15" s="2" t="s">
        <v>14</v>
      </c>
      <c r="H15" s="4" t="s">
        <v>335</v>
      </c>
      <c r="I15" s="4" t="s">
        <v>366</v>
      </c>
    </row>
    <row r="16" spans="1:9" ht="105" x14ac:dyDescent="0.25">
      <c r="A16" s="2" t="s">
        <v>79</v>
      </c>
      <c r="B16" s="2" t="s">
        <v>93</v>
      </c>
      <c r="C16" s="3" t="s">
        <v>369</v>
      </c>
      <c r="D16" s="2" t="s">
        <v>370</v>
      </c>
      <c r="E16" s="2" t="s">
        <v>61</v>
      </c>
      <c r="F16" s="2" t="s">
        <v>14</v>
      </c>
      <c r="G16" s="2" t="s">
        <v>371</v>
      </c>
      <c r="H16" s="4" t="s">
        <v>335</v>
      </c>
      <c r="I16" s="4" t="s">
        <v>366</v>
      </c>
    </row>
    <row r="17" spans="1:10" ht="195" x14ac:dyDescent="0.25">
      <c r="A17" s="2" t="s">
        <v>79</v>
      </c>
      <c r="B17" s="2" t="s">
        <v>357</v>
      </c>
      <c r="C17" s="3" t="s">
        <v>372</v>
      </c>
      <c r="D17" s="2" t="s">
        <v>373</v>
      </c>
      <c r="E17" s="2" t="s">
        <v>61</v>
      </c>
      <c r="F17" s="2" t="s">
        <v>14</v>
      </c>
      <c r="G17" s="2" t="s">
        <v>365</v>
      </c>
      <c r="H17" s="4" t="s">
        <v>335</v>
      </c>
      <c r="I17" s="4" t="s">
        <v>366</v>
      </c>
    </row>
    <row r="18" spans="1:10" ht="195" x14ac:dyDescent="0.25">
      <c r="A18" s="2" t="s">
        <v>79</v>
      </c>
      <c r="B18" s="2" t="s">
        <v>357</v>
      </c>
      <c r="C18" s="3" t="s">
        <v>374</v>
      </c>
      <c r="D18" s="2" t="s">
        <v>375</v>
      </c>
      <c r="E18" s="2" t="s">
        <v>61</v>
      </c>
      <c r="F18" s="2" t="s">
        <v>14</v>
      </c>
      <c r="G18" s="2" t="s">
        <v>365</v>
      </c>
      <c r="H18" s="4" t="s">
        <v>335</v>
      </c>
      <c r="I18" s="4" t="s">
        <v>366</v>
      </c>
    </row>
    <row r="19" spans="1:10" ht="60" x14ac:dyDescent="0.25">
      <c r="A19" s="2" t="s">
        <v>10</v>
      </c>
      <c r="B19" s="2" t="s">
        <v>11</v>
      </c>
      <c r="C19" s="3" t="s">
        <v>376</v>
      </c>
      <c r="D19" s="2" t="s">
        <v>377</v>
      </c>
      <c r="E19" s="2" t="s">
        <v>61</v>
      </c>
      <c r="F19" s="2" t="s">
        <v>14</v>
      </c>
      <c r="G19" s="2" t="s">
        <v>378</v>
      </c>
    </row>
    <row r="20" spans="1:10" ht="45" x14ac:dyDescent="0.25">
      <c r="A20" s="2" t="s">
        <v>79</v>
      </c>
      <c r="B20" s="2" t="s">
        <v>352</v>
      </c>
      <c r="C20" s="3" t="s">
        <v>379</v>
      </c>
      <c r="D20" s="2" t="s">
        <v>380</v>
      </c>
      <c r="E20" s="2" t="s">
        <v>61</v>
      </c>
      <c r="F20" s="2" t="s">
        <v>35</v>
      </c>
      <c r="G20" s="2" t="s">
        <v>381</v>
      </c>
    </row>
    <row r="21" spans="1:10" ht="409.5" x14ac:dyDescent="0.25">
      <c r="A21" s="2" t="s">
        <v>10</v>
      </c>
      <c r="B21" s="2" t="s">
        <v>26</v>
      </c>
      <c r="C21" s="3" t="s">
        <v>33</v>
      </c>
      <c r="D21" s="2" t="s">
        <v>34</v>
      </c>
      <c r="E21" s="2" t="s">
        <v>29</v>
      </c>
      <c r="F21" s="2" t="s">
        <v>35</v>
      </c>
      <c r="G21" s="2" t="s">
        <v>21</v>
      </c>
      <c r="H21" s="2" t="s">
        <v>36</v>
      </c>
      <c r="I21" s="4" t="s">
        <v>37</v>
      </c>
      <c r="J21" s="4" t="s">
        <v>38</v>
      </c>
    </row>
    <row r="22" spans="1:10" ht="75" x14ac:dyDescent="0.25">
      <c r="A22" s="2" t="s">
        <v>10</v>
      </c>
      <c r="B22" s="2" t="s">
        <v>45</v>
      </c>
      <c r="C22" s="3" t="s">
        <v>46</v>
      </c>
      <c r="D22" s="2" t="s">
        <v>47</v>
      </c>
      <c r="E22" s="2" t="s">
        <v>402</v>
      </c>
      <c r="F22" s="2" t="s">
        <v>49</v>
      </c>
      <c r="G22" s="2" t="s">
        <v>15</v>
      </c>
    </row>
    <row r="23" spans="1:10" ht="60" x14ac:dyDescent="0.25">
      <c r="A23" s="2" t="s">
        <v>10</v>
      </c>
      <c r="B23" s="2" t="s">
        <v>45</v>
      </c>
      <c r="C23" s="3" t="s">
        <v>53</v>
      </c>
      <c r="D23" s="2" t="s">
        <v>54</v>
      </c>
      <c r="E23" s="2" t="s">
        <v>52</v>
      </c>
      <c r="F23" s="2" t="s">
        <v>49</v>
      </c>
      <c r="G23" s="2" t="s">
        <v>21</v>
      </c>
    </row>
    <row r="24" spans="1:10" ht="270" x14ac:dyDescent="0.25">
      <c r="A24" s="2" t="s">
        <v>10</v>
      </c>
      <c r="B24" s="2" t="s">
        <v>74</v>
      </c>
      <c r="C24" s="3" t="s">
        <v>75</v>
      </c>
      <c r="D24" s="2" t="s">
        <v>76</v>
      </c>
      <c r="E24" s="2" t="s">
        <v>29</v>
      </c>
      <c r="F24" s="2" t="s">
        <v>14</v>
      </c>
      <c r="G24" s="2" t="s">
        <v>15</v>
      </c>
      <c r="H24" s="2" t="s">
        <v>36</v>
      </c>
      <c r="I24" s="4" t="s">
        <v>77</v>
      </c>
      <c r="J24" s="4" t="s">
        <v>78</v>
      </c>
    </row>
    <row r="25" spans="1:10" ht="60" x14ac:dyDescent="0.25">
      <c r="A25" s="2" t="s">
        <v>384</v>
      </c>
      <c r="B25" s="2" t="s">
        <v>80</v>
      </c>
      <c r="C25" s="3" t="s">
        <v>382</v>
      </c>
      <c r="D25" s="2" t="s">
        <v>383</v>
      </c>
      <c r="E25" s="2" t="s">
        <v>61</v>
      </c>
      <c r="F25" s="2" t="s">
        <v>14</v>
      </c>
      <c r="G25" s="2" t="s">
        <v>15</v>
      </c>
    </row>
    <row r="26" spans="1:10" ht="60" x14ac:dyDescent="0.25">
      <c r="A26" s="2" t="s">
        <v>384</v>
      </c>
      <c r="B26" s="2" t="s">
        <v>108</v>
      </c>
      <c r="C26" s="3" t="s">
        <v>109</v>
      </c>
      <c r="D26" s="2" t="s">
        <v>110</v>
      </c>
      <c r="E26" s="2" t="s">
        <v>81</v>
      </c>
      <c r="F26" s="2" t="s">
        <v>14</v>
      </c>
      <c r="G26" s="2" t="s">
        <v>111</v>
      </c>
      <c r="H26" s="4" t="s">
        <v>102</v>
      </c>
      <c r="I26" s="4"/>
      <c r="J26" s="4"/>
    </row>
    <row r="27" spans="1:10" ht="45" x14ac:dyDescent="0.25">
      <c r="A27" s="2" t="s">
        <v>112</v>
      </c>
      <c r="B27" s="2" t="s">
        <v>175</v>
      </c>
      <c r="C27" s="3" t="s">
        <v>177</v>
      </c>
      <c r="D27" s="2" t="s">
        <v>178</v>
      </c>
      <c r="E27" s="2" t="s">
        <v>92</v>
      </c>
      <c r="F27" s="2" t="s">
        <v>58</v>
      </c>
      <c r="G27" s="2" t="s">
        <v>15</v>
      </c>
    </row>
    <row r="28" spans="1:10" ht="45" x14ac:dyDescent="0.25">
      <c r="A28" s="2" t="s">
        <v>112</v>
      </c>
      <c r="B28" s="2" t="s">
        <v>175</v>
      </c>
      <c r="C28" s="3" t="s">
        <v>179</v>
      </c>
      <c r="D28" s="2" t="s">
        <v>180</v>
      </c>
      <c r="E28" s="2" t="s">
        <v>92</v>
      </c>
      <c r="F28" s="2" t="s">
        <v>58</v>
      </c>
      <c r="G28" s="2" t="s">
        <v>15</v>
      </c>
    </row>
    <row r="29" spans="1:10" ht="345" x14ac:dyDescent="0.25">
      <c r="A29" s="2" t="s">
        <v>229</v>
      </c>
      <c r="B29" s="2" t="s">
        <v>235</v>
      </c>
      <c r="C29" s="3" t="s">
        <v>236</v>
      </c>
      <c r="D29" s="2" t="s">
        <v>237</v>
      </c>
      <c r="E29" s="2" t="s">
        <v>81</v>
      </c>
      <c r="F29" s="2" t="s">
        <v>18</v>
      </c>
      <c r="G29" s="2" t="s">
        <v>111</v>
      </c>
      <c r="H29" s="2" t="s">
        <v>238</v>
      </c>
      <c r="I29" s="4" t="s">
        <v>239</v>
      </c>
      <c r="J29" s="2" t="s">
        <v>240</v>
      </c>
    </row>
    <row r="30" spans="1:10" ht="300" x14ac:dyDescent="0.25">
      <c r="A30" s="2" t="s">
        <v>229</v>
      </c>
      <c r="B30" s="2" t="s">
        <v>235</v>
      </c>
      <c r="C30" s="3" t="s">
        <v>241</v>
      </c>
      <c r="D30" s="2" t="s">
        <v>242</v>
      </c>
      <c r="E30" s="2" t="s">
        <v>81</v>
      </c>
      <c r="F30" s="2" t="s">
        <v>14</v>
      </c>
      <c r="G30" s="2" t="s">
        <v>15</v>
      </c>
      <c r="H30" s="2" t="s">
        <v>238</v>
      </c>
      <c r="I30" s="4" t="s">
        <v>243</v>
      </c>
      <c r="J30" s="2" t="s">
        <v>244</v>
      </c>
    </row>
    <row r="31" spans="1:10" ht="195" x14ac:dyDescent="0.25">
      <c r="A31" s="2" t="s">
        <v>229</v>
      </c>
      <c r="B31" s="2" t="s">
        <v>235</v>
      </c>
      <c r="C31" s="3" t="s">
        <v>245</v>
      </c>
      <c r="D31" s="2" t="s">
        <v>246</v>
      </c>
      <c r="E31" s="2" t="s">
        <v>81</v>
      </c>
      <c r="F31" s="2" t="s">
        <v>18</v>
      </c>
      <c r="G31" s="2" t="s">
        <v>15</v>
      </c>
      <c r="H31" s="2" t="s">
        <v>247</v>
      </c>
      <c r="I31" s="4" t="s">
        <v>248</v>
      </c>
      <c r="J31" s="2" t="s">
        <v>249</v>
      </c>
    </row>
    <row r="32" spans="1:10" ht="255" x14ac:dyDescent="0.25">
      <c r="A32" s="2" t="s">
        <v>229</v>
      </c>
      <c r="B32" s="2" t="s">
        <v>250</v>
      </c>
      <c r="C32" s="3" t="s">
        <v>251</v>
      </c>
      <c r="D32" s="2" t="s">
        <v>252</v>
      </c>
      <c r="E32" s="2" t="s">
        <v>61</v>
      </c>
      <c r="F32" s="2" t="s">
        <v>18</v>
      </c>
      <c r="G32" s="2" t="s">
        <v>15</v>
      </c>
      <c r="H32" s="2" t="s">
        <v>238</v>
      </c>
      <c r="I32" s="4" t="s">
        <v>253</v>
      </c>
      <c r="J32" s="2" t="s">
        <v>254</v>
      </c>
    </row>
    <row r="33" spans="1:10" ht="240" x14ac:dyDescent="0.25">
      <c r="A33" s="2" t="s">
        <v>229</v>
      </c>
      <c r="B33" s="2" t="s">
        <v>250</v>
      </c>
      <c r="C33" s="3" t="s">
        <v>255</v>
      </c>
      <c r="D33" s="2" t="s">
        <v>256</v>
      </c>
      <c r="E33" s="2" t="s">
        <v>61</v>
      </c>
      <c r="F33" s="2" t="s">
        <v>18</v>
      </c>
      <c r="G33" s="2" t="s">
        <v>15</v>
      </c>
      <c r="H33" s="2" t="s">
        <v>238</v>
      </c>
      <c r="I33" s="4" t="s">
        <v>257</v>
      </c>
      <c r="J33" s="2" t="s">
        <v>258</v>
      </c>
    </row>
    <row r="34" spans="1:10" ht="150" x14ac:dyDescent="0.25">
      <c r="A34" s="2" t="s">
        <v>229</v>
      </c>
      <c r="B34" s="2" t="s">
        <v>259</v>
      </c>
      <c r="C34" s="3" t="s">
        <v>262</v>
      </c>
      <c r="D34" s="2" t="s">
        <v>263</v>
      </c>
      <c r="E34" s="2" t="s">
        <v>61</v>
      </c>
      <c r="F34" s="2" t="s">
        <v>35</v>
      </c>
      <c r="G34" s="2" t="s">
        <v>15</v>
      </c>
      <c r="H34" s="2" t="s">
        <v>238</v>
      </c>
      <c r="I34" s="4" t="s">
        <v>264</v>
      </c>
      <c r="J34" s="2" t="s">
        <v>265</v>
      </c>
    </row>
    <row r="35" spans="1:10" ht="165" x14ac:dyDescent="0.25">
      <c r="A35" s="2" t="s">
        <v>229</v>
      </c>
      <c r="B35" s="2" t="s">
        <v>259</v>
      </c>
      <c r="C35" s="3" t="s">
        <v>266</v>
      </c>
      <c r="D35" s="2" t="s">
        <v>267</v>
      </c>
      <c r="E35" s="2" t="s">
        <v>61</v>
      </c>
      <c r="F35" s="2" t="s">
        <v>58</v>
      </c>
      <c r="G35" s="2" t="s">
        <v>15</v>
      </c>
      <c r="H35" s="2" t="s">
        <v>238</v>
      </c>
      <c r="I35" s="4" t="s">
        <v>268</v>
      </c>
      <c r="J35" s="2" t="s">
        <v>269</v>
      </c>
    </row>
    <row r="36" spans="1:10" ht="150" x14ac:dyDescent="0.25">
      <c r="A36" s="2" t="s">
        <v>229</v>
      </c>
      <c r="B36" s="2" t="s">
        <v>270</v>
      </c>
      <c r="C36" s="3" t="s">
        <v>271</v>
      </c>
      <c r="D36" s="2" t="s">
        <v>272</v>
      </c>
      <c r="E36" s="2" t="s">
        <v>273</v>
      </c>
      <c r="F36" s="2" t="s">
        <v>35</v>
      </c>
      <c r="G36" s="2" t="s">
        <v>111</v>
      </c>
      <c r="H36" s="2" t="s">
        <v>274</v>
      </c>
      <c r="I36" s="4" t="s">
        <v>275</v>
      </c>
      <c r="J36" s="2" t="s">
        <v>276</v>
      </c>
    </row>
    <row r="37" spans="1:10" ht="45" x14ac:dyDescent="0.25">
      <c r="A37" s="2" t="s">
        <v>229</v>
      </c>
      <c r="B37" s="2" t="s">
        <v>270</v>
      </c>
      <c r="C37" s="3" t="s">
        <v>277</v>
      </c>
      <c r="D37" s="2" t="s">
        <v>278</v>
      </c>
      <c r="E37" s="2" t="s">
        <v>279</v>
      </c>
      <c r="F37" s="2" t="s">
        <v>58</v>
      </c>
      <c r="G37" s="2" t="s">
        <v>111</v>
      </c>
    </row>
    <row r="38" spans="1:10" ht="45" x14ac:dyDescent="0.25">
      <c r="A38" s="2" t="s">
        <v>229</v>
      </c>
      <c r="B38" s="2" t="s">
        <v>270</v>
      </c>
      <c r="C38" s="3" t="s">
        <v>280</v>
      </c>
      <c r="D38" s="2" t="s">
        <v>281</v>
      </c>
      <c r="E38" s="2" t="s">
        <v>145</v>
      </c>
      <c r="F38" s="2" t="s">
        <v>58</v>
      </c>
      <c r="G38" s="2" t="s">
        <v>15</v>
      </c>
    </row>
    <row r="39" spans="1:10" ht="60" x14ac:dyDescent="0.25">
      <c r="A39" s="2" t="s">
        <v>229</v>
      </c>
      <c r="B39" s="2" t="s">
        <v>283</v>
      </c>
      <c r="C39" s="3" t="s">
        <v>289</v>
      </c>
      <c r="D39" s="2" t="s">
        <v>290</v>
      </c>
      <c r="E39" s="2" t="s">
        <v>291</v>
      </c>
      <c r="F39" s="2" t="s">
        <v>58</v>
      </c>
      <c r="G39" s="2" t="s">
        <v>15</v>
      </c>
    </row>
    <row r="40" spans="1:10" ht="210" x14ac:dyDescent="0.25">
      <c r="A40" s="2" t="s">
        <v>229</v>
      </c>
      <c r="B40" s="2" t="s">
        <v>292</v>
      </c>
      <c r="C40" s="3" t="s">
        <v>293</v>
      </c>
      <c r="D40" s="2" t="s">
        <v>294</v>
      </c>
      <c r="E40" s="2" t="s">
        <v>61</v>
      </c>
      <c r="F40" s="2" t="s">
        <v>18</v>
      </c>
      <c r="G40" s="2" t="s">
        <v>15</v>
      </c>
      <c r="H40" s="2" t="s">
        <v>238</v>
      </c>
      <c r="I40" s="4" t="s">
        <v>295</v>
      </c>
      <c r="J40" s="2" t="s">
        <v>296</v>
      </c>
    </row>
    <row r="41" spans="1:10" ht="60" x14ac:dyDescent="0.25">
      <c r="A41" s="2" t="s">
        <v>229</v>
      </c>
      <c r="B41" s="2" t="s">
        <v>292</v>
      </c>
      <c r="C41" s="3" t="s">
        <v>297</v>
      </c>
      <c r="D41" s="2" t="s">
        <v>298</v>
      </c>
      <c r="E41" s="2" t="s">
        <v>61</v>
      </c>
      <c r="F41" s="2" t="s">
        <v>35</v>
      </c>
      <c r="G41" s="2" t="s">
        <v>15</v>
      </c>
    </row>
    <row r="42" spans="1:10" ht="60" x14ac:dyDescent="0.25">
      <c r="A42" s="2" t="s">
        <v>229</v>
      </c>
      <c r="B42" s="2" t="s">
        <v>311</v>
      </c>
      <c r="C42" s="3" t="s">
        <v>312</v>
      </c>
      <c r="D42" s="2" t="s">
        <v>313</v>
      </c>
      <c r="E42" s="2" t="s">
        <v>61</v>
      </c>
      <c r="F42" s="2" t="s">
        <v>35</v>
      </c>
      <c r="G42" s="2" t="s">
        <v>15</v>
      </c>
    </row>
    <row r="43" spans="1:10" ht="45" x14ac:dyDescent="0.25">
      <c r="A43" s="2" t="s">
        <v>229</v>
      </c>
      <c r="B43" s="2" t="s">
        <v>311</v>
      </c>
      <c r="C43" s="3" t="s">
        <v>314</v>
      </c>
      <c r="D43" s="2" t="s">
        <v>315</v>
      </c>
      <c r="E43" s="2" t="s">
        <v>145</v>
      </c>
      <c r="F43" s="2" t="s">
        <v>58</v>
      </c>
      <c r="G43" s="2" t="s">
        <v>111</v>
      </c>
    </row>
    <row r="44" spans="1:10" ht="45" x14ac:dyDescent="0.25">
      <c r="A44" s="2" t="s">
        <v>229</v>
      </c>
      <c r="B44" s="2" t="s">
        <v>311</v>
      </c>
      <c r="C44" s="3" t="s">
        <v>316</v>
      </c>
      <c r="D44" s="2" t="s">
        <v>317</v>
      </c>
      <c r="E44" s="2" t="s">
        <v>145</v>
      </c>
      <c r="F44" s="2" t="s">
        <v>58</v>
      </c>
      <c r="G44" s="2" t="s">
        <v>15</v>
      </c>
    </row>
    <row r="45" spans="1:10" ht="60" x14ac:dyDescent="0.25">
      <c r="A45" s="2" t="s">
        <v>229</v>
      </c>
      <c r="B45" s="2" t="s">
        <v>311</v>
      </c>
      <c r="C45" s="3" t="s">
        <v>318</v>
      </c>
      <c r="D45" s="2" t="s">
        <v>319</v>
      </c>
      <c r="E45" s="2" t="s">
        <v>61</v>
      </c>
      <c r="F45" s="2" t="s">
        <v>58</v>
      </c>
      <c r="G45" s="2" t="s">
        <v>15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26C9-09A2-4A99-97BB-151DD8C3AFB9}">
  <dimension ref="A1:H116"/>
  <sheetViews>
    <sheetView topLeftCell="A72" zoomScale="85" zoomScaleNormal="85" workbookViewId="0">
      <selection activeCell="B79" sqref="B79"/>
    </sheetView>
  </sheetViews>
  <sheetFormatPr defaultRowHeight="15" x14ac:dyDescent="0.25"/>
  <cols>
    <col min="1" max="1" width="28.42578125" customWidth="1"/>
    <col min="2" max="2" width="32.7109375" customWidth="1"/>
    <col min="3" max="3" width="35.140625" customWidth="1"/>
    <col min="4" max="4" width="45.5703125" customWidth="1"/>
    <col min="5" max="5" width="47.140625" customWidth="1"/>
    <col min="6" max="6" width="43.5703125" customWidth="1"/>
    <col min="7" max="7" width="86.5703125" customWidth="1"/>
    <col min="8" max="8" width="24.140625" customWidth="1"/>
  </cols>
  <sheetData>
    <row r="1" spans="1:8" x14ac:dyDescent="0.25">
      <c r="A1" s="1" t="s">
        <v>0</v>
      </c>
      <c r="B1" s="1" t="s">
        <v>1</v>
      </c>
      <c r="C1" s="1" t="s">
        <v>2</v>
      </c>
      <c r="D1" s="1" t="s">
        <v>3</v>
      </c>
      <c r="E1" s="1" t="s">
        <v>4</v>
      </c>
      <c r="F1" s="1" t="s">
        <v>5</v>
      </c>
      <c r="G1" s="1" t="s">
        <v>469</v>
      </c>
      <c r="H1" s="1" t="s">
        <v>6</v>
      </c>
    </row>
    <row r="2" spans="1:8" ht="45" x14ac:dyDescent="0.25">
      <c r="A2" s="2" t="s">
        <v>181</v>
      </c>
      <c r="B2" s="2" t="s">
        <v>182</v>
      </c>
      <c r="C2" s="3" t="s">
        <v>183</v>
      </c>
      <c r="D2" s="2" t="s">
        <v>184</v>
      </c>
      <c r="E2" s="2" t="s">
        <v>497</v>
      </c>
      <c r="F2" s="2" t="s">
        <v>14</v>
      </c>
      <c r="G2" s="2" t="s">
        <v>496</v>
      </c>
      <c r="H2" s="2" t="s">
        <v>21</v>
      </c>
    </row>
    <row r="3" spans="1:8" ht="45" x14ac:dyDescent="0.25">
      <c r="A3" s="2" t="s">
        <v>181</v>
      </c>
      <c r="B3" s="2" t="s">
        <v>182</v>
      </c>
      <c r="C3" s="3" t="s">
        <v>185</v>
      </c>
      <c r="D3" s="2" t="s">
        <v>186</v>
      </c>
      <c r="E3" s="2" t="s">
        <v>497</v>
      </c>
      <c r="F3" s="2" t="s">
        <v>14</v>
      </c>
      <c r="G3" s="2" t="s">
        <v>496</v>
      </c>
      <c r="H3" s="2" t="s">
        <v>21</v>
      </c>
    </row>
    <row r="4" spans="1:8" ht="30" x14ac:dyDescent="0.25">
      <c r="A4" s="2" t="s">
        <v>181</v>
      </c>
      <c r="B4" s="2" t="s">
        <v>182</v>
      </c>
      <c r="C4" s="3" t="s">
        <v>388</v>
      </c>
      <c r="D4" s="2" t="s">
        <v>389</v>
      </c>
      <c r="E4" s="2" t="s">
        <v>497</v>
      </c>
      <c r="F4" s="2" t="s">
        <v>14</v>
      </c>
      <c r="G4" s="2" t="s">
        <v>496</v>
      </c>
      <c r="H4" s="2" t="s">
        <v>21</v>
      </c>
    </row>
    <row r="5" spans="1:8" ht="45" x14ac:dyDescent="0.25">
      <c r="A5" s="2" t="s">
        <v>181</v>
      </c>
      <c r="B5" s="2" t="s">
        <v>182</v>
      </c>
      <c r="C5" s="3" t="s">
        <v>187</v>
      </c>
      <c r="D5" s="2" t="s">
        <v>188</v>
      </c>
      <c r="E5" s="2" t="s">
        <v>497</v>
      </c>
      <c r="F5" s="2" t="s">
        <v>14</v>
      </c>
      <c r="G5" s="2" t="s">
        <v>496</v>
      </c>
      <c r="H5" s="2" t="s">
        <v>21</v>
      </c>
    </row>
    <row r="6" spans="1:8" ht="45" x14ac:dyDescent="0.25">
      <c r="A6" s="2" t="s">
        <v>181</v>
      </c>
      <c r="B6" s="2" t="s">
        <v>182</v>
      </c>
      <c r="C6" s="3" t="s">
        <v>189</v>
      </c>
      <c r="D6" s="2" t="s">
        <v>190</v>
      </c>
      <c r="E6" s="2" t="s">
        <v>81</v>
      </c>
      <c r="F6" s="2" t="s">
        <v>14</v>
      </c>
      <c r="G6" s="2" t="s">
        <v>496</v>
      </c>
      <c r="H6" s="2" t="s">
        <v>15</v>
      </c>
    </row>
    <row r="7" spans="1:8" ht="45" x14ac:dyDescent="0.25">
      <c r="A7" s="2" t="s">
        <v>181</v>
      </c>
      <c r="B7" s="2" t="s">
        <v>196</v>
      </c>
      <c r="C7" s="3" t="s">
        <v>390</v>
      </c>
      <c r="D7" s="2" t="s">
        <v>392</v>
      </c>
      <c r="E7" s="2" t="s">
        <v>497</v>
      </c>
      <c r="F7" s="2" t="s">
        <v>35</v>
      </c>
      <c r="G7" s="2" t="s">
        <v>496</v>
      </c>
      <c r="H7" s="2" t="s">
        <v>15</v>
      </c>
    </row>
    <row r="8" spans="1:8" ht="45" x14ac:dyDescent="0.25">
      <c r="A8" s="2" t="s">
        <v>181</v>
      </c>
      <c r="B8" s="2" t="s">
        <v>196</v>
      </c>
      <c r="C8" s="3" t="s">
        <v>391</v>
      </c>
      <c r="D8" s="2" t="s">
        <v>393</v>
      </c>
      <c r="E8" s="2" t="s">
        <v>497</v>
      </c>
      <c r="F8" s="2" t="s">
        <v>14</v>
      </c>
      <c r="G8" s="2" t="s">
        <v>496</v>
      </c>
      <c r="H8" s="2" t="s">
        <v>15</v>
      </c>
    </row>
    <row r="9" spans="1:8" ht="45" x14ac:dyDescent="0.25">
      <c r="A9" s="2" t="s">
        <v>181</v>
      </c>
      <c r="B9" s="2" t="s">
        <v>191</v>
      </c>
      <c r="C9" s="3" t="s">
        <v>192</v>
      </c>
      <c r="D9" s="2" t="s">
        <v>193</v>
      </c>
      <c r="E9" s="2" t="s">
        <v>497</v>
      </c>
      <c r="F9" s="2" t="s">
        <v>14</v>
      </c>
      <c r="G9" s="2" t="s">
        <v>496</v>
      </c>
      <c r="H9" s="2" t="s">
        <v>21</v>
      </c>
    </row>
    <row r="10" spans="1:8" ht="30" x14ac:dyDescent="0.25">
      <c r="A10" s="2" t="s">
        <v>181</v>
      </c>
      <c r="B10" s="2" t="s">
        <v>191</v>
      </c>
      <c r="C10" s="3" t="s">
        <v>194</v>
      </c>
      <c r="D10" s="2" t="s">
        <v>195</v>
      </c>
      <c r="E10" s="2" t="s">
        <v>497</v>
      </c>
      <c r="F10" s="2" t="s">
        <v>14</v>
      </c>
      <c r="G10" s="2" t="s">
        <v>496</v>
      </c>
      <c r="H10" s="2" t="s">
        <v>15</v>
      </c>
    </row>
    <row r="11" spans="1:8" ht="45" x14ac:dyDescent="0.25">
      <c r="A11" s="2" t="s">
        <v>384</v>
      </c>
      <c r="B11" s="2" t="s">
        <v>96</v>
      </c>
      <c r="C11" s="3" t="s">
        <v>97</v>
      </c>
      <c r="D11" s="2" t="s">
        <v>98</v>
      </c>
      <c r="E11" s="2" t="s">
        <v>497</v>
      </c>
      <c r="F11" s="2" t="s">
        <v>14</v>
      </c>
      <c r="G11" s="2" t="s">
        <v>496</v>
      </c>
      <c r="H11" s="2" t="s">
        <v>15</v>
      </c>
    </row>
    <row r="12" spans="1:8" ht="30" x14ac:dyDescent="0.25">
      <c r="A12" s="2" t="s">
        <v>384</v>
      </c>
      <c r="B12" s="2" t="s">
        <v>96</v>
      </c>
      <c r="C12" s="3" t="s">
        <v>456</v>
      </c>
      <c r="D12" s="2" t="s">
        <v>99</v>
      </c>
      <c r="E12" s="2" t="s">
        <v>497</v>
      </c>
      <c r="F12" s="2" t="s">
        <v>14</v>
      </c>
      <c r="G12" s="2" t="s">
        <v>496</v>
      </c>
      <c r="H12" s="2" t="s">
        <v>15</v>
      </c>
    </row>
    <row r="13" spans="1:8" ht="45" x14ac:dyDescent="0.25">
      <c r="A13" s="2" t="s">
        <v>384</v>
      </c>
      <c r="B13" s="2" t="s">
        <v>103</v>
      </c>
      <c r="C13" s="3" t="s">
        <v>104</v>
      </c>
      <c r="D13" s="2" t="s">
        <v>105</v>
      </c>
      <c r="E13" s="2" t="s">
        <v>52</v>
      </c>
      <c r="F13" s="2" t="s">
        <v>14</v>
      </c>
      <c r="G13" s="2" t="s">
        <v>496</v>
      </c>
      <c r="H13" s="2" t="s">
        <v>21</v>
      </c>
    </row>
    <row r="14" spans="1:8" ht="45" x14ac:dyDescent="0.25">
      <c r="A14" s="2" t="s">
        <v>384</v>
      </c>
      <c r="B14" s="2" t="s">
        <v>83</v>
      </c>
      <c r="C14" s="3" t="s">
        <v>84</v>
      </c>
      <c r="D14" s="2" t="s">
        <v>85</v>
      </c>
      <c r="E14" s="2" t="s">
        <v>497</v>
      </c>
      <c r="F14" s="2" t="s">
        <v>14</v>
      </c>
      <c r="G14" s="2" t="s">
        <v>496</v>
      </c>
      <c r="H14" s="2" t="s">
        <v>15</v>
      </c>
    </row>
    <row r="15" spans="1:8" ht="45" x14ac:dyDescent="0.25">
      <c r="A15" s="2" t="s">
        <v>384</v>
      </c>
      <c r="B15" s="2" t="s">
        <v>83</v>
      </c>
      <c r="C15" s="3" t="s">
        <v>89</v>
      </c>
      <c r="D15" s="2" t="s">
        <v>90</v>
      </c>
      <c r="E15" s="2" t="s">
        <v>497</v>
      </c>
      <c r="F15" s="2" t="s">
        <v>14</v>
      </c>
      <c r="G15" s="2" t="s">
        <v>496</v>
      </c>
      <c r="H15" s="2" t="s">
        <v>21</v>
      </c>
    </row>
    <row r="16" spans="1:8" ht="45" x14ac:dyDescent="0.25">
      <c r="A16" s="2" t="s">
        <v>384</v>
      </c>
      <c r="B16" s="2" t="s">
        <v>196</v>
      </c>
      <c r="C16" s="3" t="s">
        <v>512</v>
      </c>
      <c r="D16" s="2" t="s">
        <v>394</v>
      </c>
      <c r="E16" s="2" t="s">
        <v>497</v>
      </c>
      <c r="F16" s="2" t="s">
        <v>14</v>
      </c>
      <c r="G16" s="2" t="s">
        <v>496</v>
      </c>
      <c r="H16" s="2" t="s">
        <v>21</v>
      </c>
    </row>
    <row r="17" spans="1:8" ht="45" x14ac:dyDescent="0.25">
      <c r="A17" s="2" t="s">
        <v>384</v>
      </c>
      <c r="B17" s="2" t="s">
        <v>103</v>
      </c>
      <c r="C17" s="3" t="s">
        <v>106</v>
      </c>
      <c r="D17" s="2" t="s">
        <v>107</v>
      </c>
      <c r="E17" s="2" t="s">
        <v>52</v>
      </c>
      <c r="F17" s="2" t="s">
        <v>14</v>
      </c>
      <c r="G17" s="2" t="s">
        <v>496</v>
      </c>
      <c r="H17" s="2" t="s">
        <v>21</v>
      </c>
    </row>
    <row r="18" spans="1:8" ht="45" x14ac:dyDescent="0.25">
      <c r="A18" s="2" t="s">
        <v>384</v>
      </c>
      <c r="B18" s="2" t="s">
        <v>93</v>
      </c>
      <c r="C18" s="3" t="s">
        <v>94</v>
      </c>
      <c r="D18" s="2" t="s">
        <v>95</v>
      </c>
      <c r="E18" s="2" t="s">
        <v>497</v>
      </c>
      <c r="F18" s="2" t="s">
        <v>14</v>
      </c>
      <c r="G18" s="2" t="s">
        <v>496</v>
      </c>
      <c r="H18" s="2" t="s">
        <v>15</v>
      </c>
    </row>
    <row r="19" spans="1:8" ht="30" x14ac:dyDescent="0.25">
      <c r="A19" s="2" t="s">
        <v>384</v>
      </c>
      <c r="B19" s="2" t="s">
        <v>96</v>
      </c>
      <c r="C19" s="3" t="s">
        <v>100</v>
      </c>
      <c r="D19" s="2" t="s">
        <v>101</v>
      </c>
      <c r="E19" s="2" t="s">
        <v>497</v>
      </c>
      <c r="F19" s="2" t="s">
        <v>14</v>
      </c>
      <c r="G19" s="2" t="s">
        <v>496</v>
      </c>
      <c r="H19" s="2" t="s">
        <v>15</v>
      </c>
    </row>
    <row r="20" spans="1:8" ht="60" x14ac:dyDescent="0.25">
      <c r="A20" s="2" t="s">
        <v>464</v>
      </c>
      <c r="B20" s="2" t="s">
        <v>230</v>
      </c>
      <c r="C20" s="3" t="s">
        <v>395</v>
      </c>
      <c r="D20" s="2" t="s">
        <v>231</v>
      </c>
      <c r="E20" s="2" t="s">
        <v>498</v>
      </c>
      <c r="F20" s="2" t="s">
        <v>18</v>
      </c>
      <c r="G20" s="4" t="s">
        <v>471</v>
      </c>
      <c r="H20" s="2" t="s">
        <v>15</v>
      </c>
    </row>
    <row r="21" spans="1:8" ht="45" x14ac:dyDescent="0.25">
      <c r="A21" s="2" t="s">
        <v>464</v>
      </c>
      <c r="B21" s="2" t="s">
        <v>230</v>
      </c>
      <c r="C21" s="3" t="s">
        <v>396</v>
      </c>
      <c r="D21" s="2" t="s">
        <v>232</v>
      </c>
      <c r="E21" s="2" t="s">
        <v>498</v>
      </c>
      <c r="F21" s="2" t="s">
        <v>18</v>
      </c>
      <c r="G21" s="4" t="s">
        <v>470</v>
      </c>
      <c r="H21" s="2" t="s">
        <v>15</v>
      </c>
    </row>
    <row r="22" spans="1:8" ht="45" x14ac:dyDescent="0.25">
      <c r="A22" s="2" t="s">
        <v>464</v>
      </c>
      <c r="B22" s="2" t="s">
        <v>230</v>
      </c>
      <c r="C22" s="3" t="s">
        <v>233</v>
      </c>
      <c r="D22" s="2" t="s">
        <v>234</v>
      </c>
      <c r="E22" s="2" t="s">
        <v>81</v>
      </c>
      <c r="F22" s="2" t="s">
        <v>14</v>
      </c>
      <c r="G22" s="2" t="s">
        <v>496</v>
      </c>
      <c r="H22" s="2" t="s">
        <v>15</v>
      </c>
    </row>
    <row r="23" spans="1:8" ht="45" x14ac:dyDescent="0.25">
      <c r="A23" s="2" t="s">
        <v>464</v>
      </c>
      <c r="B23" s="2" t="s">
        <v>230</v>
      </c>
      <c r="C23" s="3" t="s">
        <v>24</v>
      </c>
      <c r="D23" s="2" t="s">
        <v>25</v>
      </c>
      <c r="E23" s="2" t="s">
        <v>13</v>
      </c>
      <c r="F23" s="2" t="s">
        <v>18</v>
      </c>
      <c r="G23" s="4" t="s">
        <v>472</v>
      </c>
      <c r="H23" s="2" t="s">
        <v>15</v>
      </c>
    </row>
    <row r="24" spans="1:8" ht="45" x14ac:dyDescent="0.25">
      <c r="A24" s="2" t="s">
        <v>464</v>
      </c>
      <c r="B24" s="2" t="s">
        <v>230</v>
      </c>
      <c r="C24" s="3" t="s">
        <v>422</v>
      </c>
      <c r="D24" s="2" t="s">
        <v>423</v>
      </c>
      <c r="E24" s="2" t="s">
        <v>13</v>
      </c>
      <c r="F24" s="2" t="s">
        <v>18</v>
      </c>
      <c r="G24" s="4" t="s">
        <v>473</v>
      </c>
      <c r="H24" s="2" t="s">
        <v>21</v>
      </c>
    </row>
    <row r="25" spans="1:8" ht="45" x14ac:dyDescent="0.25">
      <c r="A25" s="2" t="s">
        <v>464</v>
      </c>
      <c r="B25" s="2" t="s">
        <v>230</v>
      </c>
      <c r="C25" s="3" t="s">
        <v>508</v>
      </c>
      <c r="D25" s="2" t="s">
        <v>221</v>
      </c>
      <c r="E25" s="2" t="s">
        <v>40</v>
      </c>
      <c r="F25" s="2" t="s">
        <v>18</v>
      </c>
      <c r="G25" s="4" t="s">
        <v>474</v>
      </c>
      <c r="H25" s="2" t="s">
        <v>15</v>
      </c>
    </row>
    <row r="26" spans="1:8" ht="60" x14ac:dyDescent="0.25">
      <c r="A26" s="2" t="s">
        <v>10</v>
      </c>
      <c r="B26" s="2" t="s">
        <v>11</v>
      </c>
      <c r="C26" s="3" t="s">
        <v>12</v>
      </c>
      <c r="D26" s="2" t="s">
        <v>509</v>
      </c>
      <c r="E26" s="2" t="s">
        <v>13</v>
      </c>
      <c r="F26" s="2" t="s">
        <v>14</v>
      </c>
      <c r="G26" s="2" t="s">
        <v>496</v>
      </c>
      <c r="H26" s="2" t="s">
        <v>15</v>
      </c>
    </row>
    <row r="27" spans="1:8" ht="45" x14ac:dyDescent="0.25">
      <c r="A27" s="2" t="s">
        <v>10</v>
      </c>
      <c r="B27" s="2" t="s">
        <v>417</v>
      </c>
      <c r="C27" s="3" t="s">
        <v>418</v>
      </c>
      <c r="D27" s="2" t="s">
        <v>419</v>
      </c>
      <c r="E27" s="2" t="s">
        <v>452</v>
      </c>
      <c r="F27" s="2" t="s">
        <v>14</v>
      </c>
      <c r="G27" s="2" t="s">
        <v>496</v>
      </c>
      <c r="H27" s="2" t="s">
        <v>111</v>
      </c>
    </row>
    <row r="28" spans="1:8" ht="60" x14ac:dyDescent="0.25">
      <c r="A28" s="2" t="s">
        <v>10</v>
      </c>
      <c r="B28" s="2" t="s">
        <v>417</v>
      </c>
      <c r="C28" s="3" t="s">
        <v>420</v>
      </c>
      <c r="D28" s="2" t="s">
        <v>421</v>
      </c>
      <c r="E28" s="2" t="s">
        <v>452</v>
      </c>
      <c r="F28" s="2" t="s">
        <v>14</v>
      </c>
      <c r="G28" s="2" t="s">
        <v>496</v>
      </c>
      <c r="H28" s="2" t="s">
        <v>111</v>
      </c>
    </row>
    <row r="29" spans="1:8" ht="45" x14ac:dyDescent="0.25">
      <c r="A29" s="2" t="s">
        <v>10</v>
      </c>
      <c r="B29" s="2" t="s">
        <v>11</v>
      </c>
      <c r="C29" s="3" t="s">
        <v>19</v>
      </c>
      <c r="D29" s="2" t="s">
        <v>20</v>
      </c>
      <c r="E29" s="2" t="s">
        <v>13</v>
      </c>
      <c r="F29" s="2" t="s">
        <v>14</v>
      </c>
      <c r="G29" s="2" t="s">
        <v>496</v>
      </c>
      <c r="H29" s="2" t="s">
        <v>21</v>
      </c>
    </row>
    <row r="30" spans="1:8" ht="45" x14ac:dyDescent="0.25">
      <c r="A30" s="2" t="s">
        <v>10</v>
      </c>
      <c r="B30" s="2" t="s">
        <v>11</v>
      </c>
      <c r="C30" s="3" t="s">
        <v>16</v>
      </c>
      <c r="D30" s="2" t="s">
        <v>17</v>
      </c>
      <c r="E30" s="2" t="s">
        <v>13</v>
      </c>
      <c r="F30" s="2" t="s">
        <v>14</v>
      </c>
      <c r="G30" s="2" t="s">
        <v>496</v>
      </c>
      <c r="H30" s="2" t="s">
        <v>15</v>
      </c>
    </row>
    <row r="31" spans="1:8" ht="30" x14ac:dyDescent="0.25">
      <c r="A31" s="2" t="s">
        <v>10</v>
      </c>
      <c r="B31" s="2" t="s">
        <v>11</v>
      </c>
      <c r="C31" s="3" t="s">
        <v>22</v>
      </c>
      <c r="D31" s="2" t="s">
        <v>23</v>
      </c>
      <c r="E31" s="2" t="s">
        <v>13</v>
      </c>
      <c r="F31" s="2" t="s">
        <v>14</v>
      </c>
      <c r="G31" s="2" t="s">
        <v>496</v>
      </c>
      <c r="H31" s="2" t="s">
        <v>21</v>
      </c>
    </row>
    <row r="32" spans="1:8" ht="45" x14ac:dyDescent="0.25">
      <c r="A32" s="2" t="s">
        <v>10</v>
      </c>
      <c r="B32" s="2" t="s">
        <v>26</v>
      </c>
      <c r="C32" s="3" t="s">
        <v>27</v>
      </c>
      <c r="D32" s="2" t="s">
        <v>28</v>
      </c>
      <c r="E32" s="2" t="s">
        <v>29</v>
      </c>
      <c r="F32" s="2" t="s">
        <v>14</v>
      </c>
      <c r="G32" s="2" t="s">
        <v>496</v>
      </c>
      <c r="H32" s="2" t="s">
        <v>15</v>
      </c>
    </row>
    <row r="33" spans="1:8" ht="45" x14ac:dyDescent="0.25">
      <c r="A33" s="2" t="s">
        <v>10</v>
      </c>
      <c r="B33" s="2" t="s">
        <v>26</v>
      </c>
      <c r="C33" s="3" t="s">
        <v>30</v>
      </c>
      <c r="D33" s="2" t="s">
        <v>31</v>
      </c>
      <c r="E33" s="2" t="s">
        <v>29</v>
      </c>
      <c r="F33" s="2" t="s">
        <v>32</v>
      </c>
      <c r="G33" s="4" t="s">
        <v>489</v>
      </c>
      <c r="H33" s="2" t="s">
        <v>15</v>
      </c>
    </row>
    <row r="34" spans="1:8" ht="45" x14ac:dyDescent="0.25">
      <c r="A34" s="2" t="s">
        <v>10</v>
      </c>
      <c r="B34" s="2" t="s">
        <v>26</v>
      </c>
      <c r="C34" s="3" t="s">
        <v>427</v>
      </c>
      <c r="D34" s="2" t="s">
        <v>428</v>
      </c>
      <c r="E34" s="2" t="s">
        <v>454</v>
      </c>
      <c r="F34" s="2" t="s">
        <v>58</v>
      </c>
      <c r="G34" s="2" t="s">
        <v>496</v>
      </c>
      <c r="H34" s="2" t="s">
        <v>15</v>
      </c>
    </row>
    <row r="35" spans="1:8" ht="45" x14ac:dyDescent="0.25">
      <c r="A35" s="2" t="s">
        <v>10</v>
      </c>
      <c r="B35" s="2" t="s">
        <v>26</v>
      </c>
      <c r="C35" s="3" t="s">
        <v>429</v>
      </c>
      <c r="D35" s="2" t="s">
        <v>430</v>
      </c>
      <c r="E35" s="2" t="s">
        <v>451</v>
      </c>
      <c r="F35" s="2" t="s">
        <v>58</v>
      </c>
      <c r="G35" s="2" t="s">
        <v>496</v>
      </c>
      <c r="H35" s="2" t="s">
        <v>111</v>
      </c>
    </row>
    <row r="36" spans="1:8" ht="45" x14ac:dyDescent="0.25">
      <c r="A36" s="2" t="s">
        <v>10</v>
      </c>
      <c r="B36" s="2" t="s">
        <v>39</v>
      </c>
      <c r="C36" s="3" t="s">
        <v>510</v>
      </c>
      <c r="D36" s="2" t="s">
        <v>511</v>
      </c>
      <c r="E36" s="2" t="s">
        <v>40</v>
      </c>
      <c r="F36" s="2" t="s">
        <v>18</v>
      </c>
      <c r="G36" s="4" t="s">
        <v>475</v>
      </c>
      <c r="H36" s="2" t="s">
        <v>15</v>
      </c>
    </row>
    <row r="37" spans="1:8" ht="45" x14ac:dyDescent="0.25">
      <c r="A37" s="2" t="s">
        <v>10</v>
      </c>
      <c r="B37" s="2" t="s">
        <v>39</v>
      </c>
      <c r="C37" s="3" t="s">
        <v>41</v>
      </c>
      <c r="D37" s="2" t="s">
        <v>42</v>
      </c>
      <c r="E37" s="2" t="s">
        <v>40</v>
      </c>
      <c r="F37" s="2" t="s">
        <v>18</v>
      </c>
      <c r="G37" s="4" t="s">
        <v>475</v>
      </c>
      <c r="H37" s="2" t="s">
        <v>15</v>
      </c>
    </row>
    <row r="38" spans="1:8" ht="45" x14ac:dyDescent="0.25">
      <c r="A38" s="2" t="s">
        <v>10</v>
      </c>
      <c r="B38" s="2" t="s">
        <v>39</v>
      </c>
      <c r="C38" s="3" t="s">
        <v>43</v>
      </c>
      <c r="D38" s="2" t="s">
        <v>44</v>
      </c>
      <c r="E38" s="2" t="s">
        <v>40</v>
      </c>
      <c r="F38" s="2" t="s">
        <v>18</v>
      </c>
      <c r="G38" s="4" t="s">
        <v>475</v>
      </c>
      <c r="H38" s="2" t="s">
        <v>21</v>
      </c>
    </row>
    <row r="39" spans="1:8" ht="45" x14ac:dyDescent="0.25">
      <c r="A39" s="2" t="s">
        <v>10</v>
      </c>
      <c r="B39" s="2" t="s">
        <v>45</v>
      </c>
      <c r="C39" s="3" t="s">
        <v>50</v>
      </c>
      <c r="D39" s="2" t="s">
        <v>51</v>
      </c>
      <c r="E39" s="2" t="s">
        <v>52</v>
      </c>
      <c r="F39" s="2" t="s">
        <v>49</v>
      </c>
      <c r="G39" s="4" t="s">
        <v>476</v>
      </c>
      <c r="H39" s="2" t="s">
        <v>15</v>
      </c>
    </row>
    <row r="40" spans="1:8" ht="30" x14ac:dyDescent="0.25">
      <c r="A40" s="2" t="s">
        <v>10</v>
      </c>
      <c r="B40" s="2" t="s">
        <v>69</v>
      </c>
      <c r="C40" s="3" t="s">
        <v>70</v>
      </c>
      <c r="D40" s="2" t="s">
        <v>71</v>
      </c>
      <c r="E40" s="2" t="s">
        <v>52</v>
      </c>
      <c r="F40" s="2" t="s">
        <v>14</v>
      </c>
      <c r="G40" s="2" t="s">
        <v>496</v>
      </c>
      <c r="H40" s="2" t="s">
        <v>21</v>
      </c>
    </row>
    <row r="41" spans="1:8" ht="30" x14ac:dyDescent="0.25">
      <c r="A41" s="2" t="s">
        <v>10</v>
      </c>
      <c r="B41" s="2" t="s">
        <v>69</v>
      </c>
      <c r="C41" s="3" t="s">
        <v>72</v>
      </c>
      <c r="D41" s="2" t="s">
        <v>73</v>
      </c>
      <c r="E41" s="2" t="s">
        <v>52</v>
      </c>
      <c r="F41" s="2" t="s">
        <v>14</v>
      </c>
      <c r="G41" s="2" t="s">
        <v>496</v>
      </c>
      <c r="H41" s="2" t="s">
        <v>21</v>
      </c>
    </row>
    <row r="42" spans="1:8" ht="60" x14ac:dyDescent="0.25">
      <c r="A42" s="2" t="s">
        <v>10</v>
      </c>
      <c r="B42" s="2" t="s">
        <v>69</v>
      </c>
      <c r="C42" s="3" t="s">
        <v>413</v>
      </c>
      <c r="D42" s="2" t="s">
        <v>414</v>
      </c>
      <c r="E42" s="2" t="s">
        <v>401</v>
      </c>
      <c r="F42" s="2" t="s">
        <v>14</v>
      </c>
      <c r="G42" s="2" t="s">
        <v>496</v>
      </c>
      <c r="H42" s="2" t="s">
        <v>15</v>
      </c>
    </row>
    <row r="43" spans="1:8" ht="45" x14ac:dyDescent="0.25">
      <c r="A43" s="2" t="s">
        <v>10</v>
      </c>
      <c r="B43" s="2" t="s">
        <v>55</v>
      </c>
      <c r="C43" s="3" t="s">
        <v>397</v>
      </c>
      <c r="D43" s="2" t="s">
        <v>56</v>
      </c>
      <c r="E43" s="2" t="s">
        <v>57</v>
      </c>
      <c r="F43" s="2" t="s">
        <v>58</v>
      </c>
      <c r="G43" s="2" t="s">
        <v>496</v>
      </c>
      <c r="H43" s="2" t="s">
        <v>15</v>
      </c>
    </row>
    <row r="44" spans="1:8" ht="30" x14ac:dyDescent="0.25">
      <c r="A44" s="2" t="s">
        <v>10</v>
      </c>
      <c r="B44" s="2" t="s">
        <v>55</v>
      </c>
      <c r="C44" s="3" t="s">
        <v>400</v>
      </c>
      <c r="D44" s="2" t="s">
        <v>59</v>
      </c>
      <c r="E44" s="2" t="s">
        <v>57</v>
      </c>
      <c r="F44" s="2" t="s">
        <v>58</v>
      </c>
      <c r="G44" s="2" t="s">
        <v>496</v>
      </c>
      <c r="H44" s="2" t="s">
        <v>15</v>
      </c>
    </row>
    <row r="45" spans="1:8" ht="30" x14ac:dyDescent="0.25">
      <c r="A45" s="2" t="s">
        <v>10</v>
      </c>
      <c r="B45" s="2" t="s">
        <v>55</v>
      </c>
      <c r="C45" s="3" t="s">
        <v>398</v>
      </c>
      <c r="D45" s="2" t="s">
        <v>325</v>
      </c>
      <c r="E45" s="2" t="s">
        <v>57</v>
      </c>
      <c r="F45" s="2" t="s">
        <v>58</v>
      </c>
      <c r="G45" s="2" t="s">
        <v>496</v>
      </c>
      <c r="H45" s="2" t="s">
        <v>15</v>
      </c>
    </row>
    <row r="46" spans="1:8" ht="45" x14ac:dyDescent="0.25">
      <c r="A46" s="2" t="s">
        <v>10</v>
      </c>
      <c r="B46" s="2" t="s">
        <v>424</v>
      </c>
      <c r="C46" s="3" t="s">
        <v>425</v>
      </c>
      <c r="D46" s="2" t="s">
        <v>426</v>
      </c>
      <c r="E46" s="2" t="s">
        <v>497</v>
      </c>
      <c r="F46" s="2" t="s">
        <v>35</v>
      </c>
      <c r="G46" s="2" t="s">
        <v>496</v>
      </c>
      <c r="H46" s="2" t="s">
        <v>111</v>
      </c>
    </row>
    <row r="47" spans="1:8" ht="45" x14ac:dyDescent="0.25">
      <c r="A47" s="2" t="s">
        <v>10</v>
      </c>
      <c r="B47" s="2" t="s">
        <v>424</v>
      </c>
      <c r="C47" s="3" t="s">
        <v>442</v>
      </c>
      <c r="D47" s="2" t="s">
        <v>443</v>
      </c>
      <c r="E47" s="2" t="s">
        <v>497</v>
      </c>
      <c r="F47" s="2" t="s">
        <v>35</v>
      </c>
      <c r="G47" s="2" t="s">
        <v>496</v>
      </c>
      <c r="H47" s="2" t="s">
        <v>15</v>
      </c>
    </row>
    <row r="48" spans="1:8" ht="60" x14ac:dyDescent="0.25">
      <c r="A48" s="2" t="s">
        <v>10</v>
      </c>
      <c r="B48" s="2" t="s">
        <v>60</v>
      </c>
      <c r="C48" s="3" t="s">
        <v>502</v>
      </c>
      <c r="D48" s="2" t="s">
        <v>500</v>
      </c>
      <c r="E48" s="2" t="s">
        <v>497</v>
      </c>
      <c r="F48" s="2" t="s">
        <v>14</v>
      </c>
      <c r="G48" s="2" t="s">
        <v>496</v>
      </c>
      <c r="H48" s="2" t="s">
        <v>21</v>
      </c>
    </row>
    <row r="49" spans="1:8" ht="60" x14ac:dyDescent="0.25">
      <c r="A49" s="2" t="s">
        <v>10</v>
      </c>
      <c r="B49" s="2" t="s">
        <v>60</v>
      </c>
      <c r="C49" s="3" t="s">
        <v>503</v>
      </c>
      <c r="D49" s="2" t="s">
        <v>501</v>
      </c>
      <c r="E49" s="2" t="s">
        <v>497</v>
      </c>
      <c r="F49" s="2" t="s">
        <v>14</v>
      </c>
      <c r="G49" s="2" t="s">
        <v>496</v>
      </c>
      <c r="H49" s="2" t="s">
        <v>21</v>
      </c>
    </row>
    <row r="50" spans="1:8" ht="30" x14ac:dyDescent="0.25">
      <c r="A50" s="2" t="s">
        <v>10</v>
      </c>
      <c r="B50" s="2" t="s">
        <v>60</v>
      </c>
      <c r="C50" s="3" t="s">
        <v>63</v>
      </c>
      <c r="D50" s="2" t="s">
        <v>64</v>
      </c>
      <c r="E50" s="2" t="s">
        <v>497</v>
      </c>
      <c r="F50" s="2" t="s">
        <v>14</v>
      </c>
      <c r="G50" s="2" t="s">
        <v>496</v>
      </c>
      <c r="H50" s="2" t="s">
        <v>15</v>
      </c>
    </row>
    <row r="51" spans="1:8" ht="30" x14ac:dyDescent="0.25">
      <c r="A51" s="2" t="s">
        <v>10</v>
      </c>
      <c r="B51" s="2" t="s">
        <v>60</v>
      </c>
      <c r="C51" s="3" t="s">
        <v>65</v>
      </c>
      <c r="D51" s="2" t="s">
        <v>66</v>
      </c>
      <c r="E51" s="2" t="s">
        <v>497</v>
      </c>
      <c r="F51" s="2" t="s">
        <v>14</v>
      </c>
      <c r="G51" s="2" t="s">
        <v>496</v>
      </c>
      <c r="H51" s="2" t="s">
        <v>15</v>
      </c>
    </row>
    <row r="52" spans="1:8" ht="30" x14ac:dyDescent="0.25">
      <c r="A52" s="2" t="s">
        <v>10</v>
      </c>
      <c r="B52" s="2" t="s">
        <v>60</v>
      </c>
      <c r="C52" s="3" t="s">
        <v>67</v>
      </c>
      <c r="D52" s="2" t="s">
        <v>68</v>
      </c>
      <c r="E52" s="2" t="s">
        <v>497</v>
      </c>
      <c r="F52" s="2" t="s">
        <v>14</v>
      </c>
      <c r="G52" s="2" t="s">
        <v>496</v>
      </c>
      <c r="H52" s="2" t="s">
        <v>15</v>
      </c>
    </row>
    <row r="53" spans="1:8" ht="45" x14ac:dyDescent="0.25">
      <c r="A53" s="2" t="s">
        <v>385</v>
      </c>
      <c r="B53" s="2" t="s">
        <v>83</v>
      </c>
      <c r="C53" s="3" t="s">
        <v>408</v>
      </c>
      <c r="D53" s="2" t="s">
        <v>86</v>
      </c>
      <c r="E53" s="2" t="s">
        <v>81</v>
      </c>
      <c r="F53" s="2" t="s">
        <v>18</v>
      </c>
      <c r="G53" s="4" t="s">
        <v>477</v>
      </c>
      <c r="H53" s="2" t="s">
        <v>15</v>
      </c>
    </row>
    <row r="54" spans="1:8" ht="60" x14ac:dyDescent="0.25">
      <c r="A54" s="2" t="s">
        <v>385</v>
      </c>
      <c r="B54" s="2" t="s">
        <v>83</v>
      </c>
      <c r="C54" s="3" t="s">
        <v>407</v>
      </c>
      <c r="D54" s="2" t="s">
        <v>409</v>
      </c>
      <c r="E54" s="2" t="s">
        <v>81</v>
      </c>
      <c r="F54" s="2" t="s">
        <v>14</v>
      </c>
      <c r="G54" s="2" t="s">
        <v>496</v>
      </c>
      <c r="H54" s="2" t="s">
        <v>15</v>
      </c>
    </row>
    <row r="55" spans="1:8" ht="45" x14ac:dyDescent="0.25">
      <c r="A55" s="2" t="s">
        <v>385</v>
      </c>
      <c r="B55" s="2" t="s">
        <v>197</v>
      </c>
      <c r="C55" s="3" t="s">
        <v>198</v>
      </c>
      <c r="D55" s="2" t="s">
        <v>199</v>
      </c>
      <c r="E55" s="2" t="s">
        <v>81</v>
      </c>
      <c r="F55" s="2" t="s">
        <v>14</v>
      </c>
      <c r="G55" s="2" t="s">
        <v>496</v>
      </c>
      <c r="H55" s="2" t="s">
        <v>15</v>
      </c>
    </row>
    <row r="56" spans="1:8" ht="30" x14ac:dyDescent="0.25">
      <c r="A56" s="2" t="s">
        <v>385</v>
      </c>
      <c r="B56" s="2" t="s">
        <v>197</v>
      </c>
      <c r="C56" s="3" t="s">
        <v>386</v>
      </c>
      <c r="D56" s="2" t="s">
        <v>387</v>
      </c>
      <c r="E56" s="2" t="s">
        <v>497</v>
      </c>
      <c r="F56" s="2" t="s">
        <v>35</v>
      </c>
      <c r="G56" s="2" t="s">
        <v>496</v>
      </c>
      <c r="H56" s="2" t="s">
        <v>21</v>
      </c>
    </row>
    <row r="57" spans="1:8" ht="45" x14ac:dyDescent="0.25">
      <c r="A57" s="2" t="s">
        <v>385</v>
      </c>
      <c r="B57" s="2" t="s">
        <v>83</v>
      </c>
      <c r="C57" s="3" t="s">
        <v>87</v>
      </c>
      <c r="D57" s="2" t="s">
        <v>88</v>
      </c>
      <c r="E57" s="2" t="s">
        <v>497</v>
      </c>
      <c r="F57" s="2" t="s">
        <v>18</v>
      </c>
      <c r="G57" s="4" t="s">
        <v>478</v>
      </c>
      <c r="H57" s="2" t="s">
        <v>15</v>
      </c>
    </row>
    <row r="58" spans="1:8" ht="45" x14ac:dyDescent="0.25">
      <c r="A58" s="2" t="s">
        <v>385</v>
      </c>
      <c r="B58" s="2" t="s">
        <v>204</v>
      </c>
      <c r="C58" s="3" t="s">
        <v>205</v>
      </c>
      <c r="D58" s="2" t="s">
        <v>206</v>
      </c>
      <c r="E58" s="2" t="s">
        <v>497</v>
      </c>
      <c r="F58" s="2" t="s">
        <v>14</v>
      </c>
      <c r="G58" s="2" t="s">
        <v>496</v>
      </c>
      <c r="H58" s="2" t="s">
        <v>15</v>
      </c>
    </row>
    <row r="59" spans="1:8" ht="45" x14ac:dyDescent="0.25">
      <c r="A59" s="2" t="s">
        <v>385</v>
      </c>
      <c r="B59" s="2" t="s">
        <v>204</v>
      </c>
      <c r="C59" s="3" t="s">
        <v>207</v>
      </c>
      <c r="D59" s="2" t="s">
        <v>208</v>
      </c>
      <c r="E59" s="2" t="s">
        <v>497</v>
      </c>
      <c r="F59" s="2" t="s">
        <v>18</v>
      </c>
      <c r="G59" s="4" t="s">
        <v>478</v>
      </c>
      <c r="H59" s="2" t="s">
        <v>15</v>
      </c>
    </row>
    <row r="60" spans="1:8" ht="30" x14ac:dyDescent="0.25">
      <c r="A60" s="2" t="s">
        <v>385</v>
      </c>
      <c r="B60" s="2" t="s">
        <v>204</v>
      </c>
      <c r="C60" s="3" t="s">
        <v>209</v>
      </c>
      <c r="D60" s="2" t="s">
        <v>210</v>
      </c>
      <c r="E60" s="2" t="s">
        <v>497</v>
      </c>
      <c r="F60" s="2" t="s">
        <v>14</v>
      </c>
      <c r="G60" s="2" t="s">
        <v>496</v>
      </c>
      <c r="H60" s="2" t="s">
        <v>15</v>
      </c>
    </row>
    <row r="61" spans="1:8" ht="45" x14ac:dyDescent="0.25">
      <c r="A61" s="2" t="s">
        <v>385</v>
      </c>
      <c r="B61" s="2" t="s">
        <v>204</v>
      </c>
      <c r="C61" s="3" t="s">
        <v>211</v>
      </c>
      <c r="D61" s="2" t="s">
        <v>212</v>
      </c>
      <c r="E61" s="2" t="s">
        <v>213</v>
      </c>
      <c r="F61" s="2" t="s">
        <v>14</v>
      </c>
      <c r="G61" s="2" t="s">
        <v>496</v>
      </c>
      <c r="H61" s="2" t="s">
        <v>15</v>
      </c>
    </row>
    <row r="62" spans="1:8" ht="45" x14ac:dyDescent="0.25">
      <c r="A62" s="2" t="s">
        <v>385</v>
      </c>
      <c r="B62" s="2" t="s">
        <v>172</v>
      </c>
      <c r="C62" s="3" t="s">
        <v>173</v>
      </c>
      <c r="D62" s="2" t="s">
        <v>174</v>
      </c>
      <c r="E62" s="2" t="s">
        <v>497</v>
      </c>
      <c r="F62" s="2" t="s">
        <v>14</v>
      </c>
      <c r="G62" s="2" t="s">
        <v>496</v>
      </c>
      <c r="H62" s="2" t="s">
        <v>15</v>
      </c>
    </row>
    <row r="63" spans="1:8" ht="45" x14ac:dyDescent="0.25">
      <c r="A63" s="2" t="s">
        <v>385</v>
      </c>
      <c r="B63" s="2" t="s">
        <v>214</v>
      </c>
      <c r="C63" s="3" t="s">
        <v>215</v>
      </c>
      <c r="D63" s="2" t="s">
        <v>216</v>
      </c>
      <c r="E63" s="2" t="s">
        <v>497</v>
      </c>
      <c r="F63" s="2" t="s">
        <v>14</v>
      </c>
      <c r="G63" s="2" t="s">
        <v>496</v>
      </c>
      <c r="H63" s="2" t="s">
        <v>15</v>
      </c>
    </row>
    <row r="64" spans="1:8" ht="30" x14ac:dyDescent="0.25">
      <c r="A64" s="2" t="s">
        <v>385</v>
      </c>
      <c r="B64" s="2" t="s">
        <v>214</v>
      </c>
      <c r="C64" s="3" t="s">
        <v>217</v>
      </c>
      <c r="D64" s="2" t="s">
        <v>218</v>
      </c>
      <c r="E64" s="2" t="s">
        <v>497</v>
      </c>
      <c r="F64" s="2" t="s">
        <v>14</v>
      </c>
      <c r="G64" s="2" t="s">
        <v>496</v>
      </c>
      <c r="H64" s="2" t="s">
        <v>15</v>
      </c>
    </row>
    <row r="65" spans="1:8" ht="30" x14ac:dyDescent="0.25">
      <c r="A65" s="2" t="s">
        <v>385</v>
      </c>
      <c r="B65" s="2" t="s">
        <v>214</v>
      </c>
      <c r="C65" s="3" t="s">
        <v>219</v>
      </c>
      <c r="D65" s="2" t="s">
        <v>220</v>
      </c>
      <c r="E65" s="2" t="s">
        <v>497</v>
      </c>
      <c r="F65" s="2" t="s">
        <v>14</v>
      </c>
      <c r="G65" s="2" t="s">
        <v>496</v>
      </c>
      <c r="H65" s="2" t="s">
        <v>15</v>
      </c>
    </row>
    <row r="66" spans="1:8" ht="45" x14ac:dyDescent="0.25">
      <c r="A66" s="2" t="s">
        <v>112</v>
      </c>
      <c r="B66" s="2" t="s">
        <v>113</v>
      </c>
      <c r="C66" s="3" t="s">
        <v>114</v>
      </c>
      <c r="D66" s="2" t="s">
        <v>115</v>
      </c>
      <c r="E66" s="2" t="s">
        <v>92</v>
      </c>
      <c r="F66" s="2" t="s">
        <v>35</v>
      </c>
      <c r="G66" s="2" t="s">
        <v>496</v>
      </c>
      <c r="H66" s="2" t="s">
        <v>15</v>
      </c>
    </row>
    <row r="67" spans="1:8" ht="45" x14ac:dyDescent="0.25">
      <c r="A67" s="2" t="s">
        <v>112</v>
      </c>
      <c r="B67" s="2" t="s">
        <v>113</v>
      </c>
      <c r="C67" s="3" t="s">
        <v>116</v>
      </c>
      <c r="D67" s="2" t="s">
        <v>117</v>
      </c>
      <c r="E67" s="2" t="s">
        <v>92</v>
      </c>
      <c r="F67" s="2" t="s">
        <v>35</v>
      </c>
      <c r="G67" s="2" t="s">
        <v>496</v>
      </c>
      <c r="H67" s="2" t="s">
        <v>15</v>
      </c>
    </row>
    <row r="68" spans="1:8" ht="45" x14ac:dyDescent="0.25">
      <c r="A68" s="2" t="s">
        <v>112</v>
      </c>
      <c r="B68" s="2" t="s">
        <v>113</v>
      </c>
      <c r="C68" s="3" t="s">
        <v>122</v>
      </c>
      <c r="D68" s="2" t="s">
        <v>123</v>
      </c>
      <c r="E68" s="2" t="s">
        <v>92</v>
      </c>
      <c r="F68" s="2" t="s">
        <v>35</v>
      </c>
      <c r="G68" s="2" t="s">
        <v>496</v>
      </c>
      <c r="H68" s="2" t="s">
        <v>15</v>
      </c>
    </row>
    <row r="69" spans="1:8" ht="60" x14ac:dyDescent="0.25">
      <c r="A69" s="2" t="s">
        <v>112</v>
      </c>
      <c r="B69" s="2" t="s">
        <v>113</v>
      </c>
      <c r="C69" s="3" t="s">
        <v>118</v>
      </c>
      <c r="D69" s="2" t="s">
        <v>411</v>
      </c>
      <c r="E69" s="2" t="s">
        <v>92</v>
      </c>
      <c r="F69" s="2" t="s">
        <v>49</v>
      </c>
      <c r="G69" s="4" t="s">
        <v>479</v>
      </c>
      <c r="H69" s="2" t="s">
        <v>15</v>
      </c>
    </row>
    <row r="70" spans="1:8" ht="45" x14ac:dyDescent="0.25">
      <c r="A70" s="2" t="s">
        <v>112</v>
      </c>
      <c r="B70" s="2" t="s">
        <v>119</v>
      </c>
      <c r="C70" s="3" t="s">
        <v>120</v>
      </c>
      <c r="D70" s="2" t="s">
        <v>121</v>
      </c>
      <c r="E70" s="2" t="s">
        <v>48</v>
      </c>
      <c r="F70" s="2" t="s">
        <v>49</v>
      </c>
      <c r="G70" s="4" t="s">
        <v>480</v>
      </c>
      <c r="H70" s="2" t="s">
        <v>15</v>
      </c>
    </row>
    <row r="71" spans="1:8" ht="60" x14ac:dyDescent="0.25">
      <c r="A71" s="2" t="s">
        <v>112</v>
      </c>
      <c r="B71" s="2" t="s">
        <v>175</v>
      </c>
      <c r="C71" s="3" t="s">
        <v>176</v>
      </c>
      <c r="D71" s="2" t="s">
        <v>412</v>
      </c>
      <c r="E71" s="2" t="s">
        <v>92</v>
      </c>
      <c r="F71" s="2" t="s">
        <v>35</v>
      </c>
      <c r="G71" s="2" t="s">
        <v>496</v>
      </c>
      <c r="H71" s="2" t="s">
        <v>21</v>
      </c>
    </row>
    <row r="72" spans="1:8" ht="45" x14ac:dyDescent="0.25">
      <c r="A72" s="2" t="s">
        <v>112</v>
      </c>
      <c r="B72" s="2" t="s">
        <v>124</v>
      </c>
      <c r="C72" s="3" t="s">
        <v>125</v>
      </c>
      <c r="D72" s="2" t="s">
        <v>126</v>
      </c>
      <c r="E72" s="2" t="s">
        <v>127</v>
      </c>
      <c r="F72" s="2" t="s">
        <v>18</v>
      </c>
      <c r="G72" s="4" t="s">
        <v>481</v>
      </c>
      <c r="H72" s="2" t="s">
        <v>111</v>
      </c>
    </row>
    <row r="73" spans="1:8" ht="75" x14ac:dyDescent="0.25">
      <c r="A73" s="2" t="s">
        <v>112</v>
      </c>
      <c r="B73" s="2" t="s">
        <v>124</v>
      </c>
      <c r="C73" s="3" t="s">
        <v>128</v>
      </c>
      <c r="D73" s="2" t="s">
        <v>403</v>
      </c>
      <c r="E73" s="2" t="s">
        <v>129</v>
      </c>
      <c r="F73" s="2" t="s">
        <v>58</v>
      </c>
      <c r="G73" s="2" t="s">
        <v>496</v>
      </c>
      <c r="H73" s="2" t="s">
        <v>111</v>
      </c>
    </row>
    <row r="74" spans="1:8" ht="75" x14ac:dyDescent="0.25">
      <c r="A74" s="2" t="s">
        <v>112</v>
      </c>
      <c r="B74" s="2" t="s">
        <v>152</v>
      </c>
      <c r="C74" s="3" t="s">
        <v>153</v>
      </c>
      <c r="D74" s="2" t="s">
        <v>404</v>
      </c>
      <c r="E74" s="2" t="s">
        <v>129</v>
      </c>
      <c r="F74" s="2" t="s">
        <v>58</v>
      </c>
      <c r="G74" s="2" t="s">
        <v>496</v>
      </c>
      <c r="H74" s="2" t="s">
        <v>111</v>
      </c>
    </row>
    <row r="75" spans="1:8" ht="90" x14ac:dyDescent="0.25">
      <c r="A75" s="2" t="s">
        <v>112</v>
      </c>
      <c r="B75" s="2" t="s">
        <v>152</v>
      </c>
      <c r="C75" s="3" t="s">
        <v>154</v>
      </c>
      <c r="D75" s="2" t="s">
        <v>405</v>
      </c>
      <c r="E75" s="2" t="s">
        <v>129</v>
      </c>
      <c r="F75" s="2" t="s">
        <v>58</v>
      </c>
      <c r="G75" s="2" t="s">
        <v>496</v>
      </c>
      <c r="H75" s="2" t="s">
        <v>111</v>
      </c>
    </row>
    <row r="76" spans="1:8" ht="30" x14ac:dyDescent="0.25">
      <c r="A76" s="2" t="s">
        <v>112</v>
      </c>
      <c r="B76" s="2" t="s">
        <v>130</v>
      </c>
      <c r="C76" s="3" t="s">
        <v>131</v>
      </c>
      <c r="D76" s="2" t="s">
        <v>132</v>
      </c>
      <c r="E76" s="2" t="s">
        <v>127</v>
      </c>
      <c r="F76" s="2" t="s">
        <v>18</v>
      </c>
      <c r="G76" s="4" t="s">
        <v>482</v>
      </c>
      <c r="H76" s="2" t="s">
        <v>15</v>
      </c>
    </row>
    <row r="77" spans="1:8" ht="45" x14ac:dyDescent="0.25">
      <c r="A77" s="2" t="s">
        <v>112</v>
      </c>
      <c r="B77" s="2" t="s">
        <v>130</v>
      </c>
      <c r="C77" s="3" t="s">
        <v>133</v>
      </c>
      <c r="D77" s="2" t="s">
        <v>134</v>
      </c>
      <c r="E77" s="2" t="s">
        <v>127</v>
      </c>
      <c r="F77" s="2" t="s">
        <v>18</v>
      </c>
      <c r="G77" s="4" t="s">
        <v>482</v>
      </c>
      <c r="H77" s="2" t="s">
        <v>15</v>
      </c>
    </row>
    <row r="78" spans="1:8" ht="90" x14ac:dyDescent="0.25">
      <c r="A78" s="2" t="s">
        <v>112</v>
      </c>
      <c r="B78" s="2" t="s">
        <v>130</v>
      </c>
      <c r="C78" s="3" t="s">
        <v>135</v>
      </c>
      <c r="D78" s="2" t="s">
        <v>136</v>
      </c>
      <c r="E78" s="2" t="s">
        <v>127</v>
      </c>
      <c r="F78" s="2" t="s">
        <v>49</v>
      </c>
      <c r="G78" s="4" t="s">
        <v>490</v>
      </c>
      <c r="H78" s="2" t="s">
        <v>111</v>
      </c>
    </row>
    <row r="79" spans="1:8" ht="60" x14ac:dyDescent="0.25">
      <c r="A79" s="2" t="s">
        <v>112</v>
      </c>
      <c r="B79" s="2" t="s">
        <v>431</v>
      </c>
      <c r="C79" s="3" t="s">
        <v>432</v>
      </c>
      <c r="D79" s="2" t="s">
        <v>433</v>
      </c>
      <c r="E79" s="2" t="s">
        <v>450</v>
      </c>
      <c r="F79" s="2" t="s">
        <v>18</v>
      </c>
      <c r="G79" s="4" t="s">
        <v>483</v>
      </c>
      <c r="H79" s="2" t="s">
        <v>15</v>
      </c>
    </row>
    <row r="80" spans="1:8" ht="45" x14ac:dyDescent="0.25">
      <c r="A80" s="2" t="s">
        <v>112</v>
      </c>
      <c r="B80" s="2" t="s">
        <v>431</v>
      </c>
      <c r="C80" s="3" t="s">
        <v>434</v>
      </c>
      <c r="D80" s="2" t="s">
        <v>435</v>
      </c>
      <c r="E80" s="2" t="s">
        <v>449</v>
      </c>
      <c r="F80" s="2" t="s">
        <v>35</v>
      </c>
      <c r="G80" s="2" t="s">
        <v>496</v>
      </c>
      <c r="H80" s="2" t="s">
        <v>15</v>
      </c>
    </row>
    <row r="81" spans="1:8" ht="30" x14ac:dyDescent="0.25">
      <c r="A81" s="2" t="s">
        <v>112</v>
      </c>
      <c r="B81" s="2" t="s">
        <v>137</v>
      </c>
      <c r="C81" s="3" t="s">
        <v>138</v>
      </c>
      <c r="D81" s="2" t="s">
        <v>139</v>
      </c>
      <c r="E81" s="2" t="s">
        <v>140</v>
      </c>
      <c r="F81" s="2" t="s">
        <v>58</v>
      </c>
      <c r="G81" s="2" t="s">
        <v>496</v>
      </c>
      <c r="H81" s="2" t="s">
        <v>111</v>
      </c>
    </row>
    <row r="82" spans="1:8" ht="30" x14ac:dyDescent="0.25">
      <c r="A82" s="2" t="s">
        <v>112</v>
      </c>
      <c r="B82" s="2" t="s">
        <v>137</v>
      </c>
      <c r="C82" s="3" t="s">
        <v>141</v>
      </c>
      <c r="D82" s="2" t="s">
        <v>142</v>
      </c>
      <c r="E82" s="2" t="s">
        <v>140</v>
      </c>
      <c r="F82" s="2" t="s">
        <v>58</v>
      </c>
      <c r="G82" s="2" t="s">
        <v>496</v>
      </c>
      <c r="H82" s="2" t="s">
        <v>111</v>
      </c>
    </row>
    <row r="83" spans="1:8" ht="45" x14ac:dyDescent="0.25">
      <c r="A83" s="2" t="s">
        <v>112</v>
      </c>
      <c r="B83" s="2" t="s">
        <v>137</v>
      </c>
      <c r="C83" s="3" t="s">
        <v>437</v>
      </c>
      <c r="D83" s="2" t="s">
        <v>438</v>
      </c>
      <c r="E83" s="2" t="s">
        <v>448</v>
      </c>
      <c r="F83" s="2" t="s">
        <v>35</v>
      </c>
      <c r="G83" s="2" t="s">
        <v>496</v>
      </c>
      <c r="H83" s="2" t="s">
        <v>15</v>
      </c>
    </row>
    <row r="84" spans="1:8" ht="30" x14ac:dyDescent="0.25">
      <c r="A84" s="2" t="s">
        <v>112</v>
      </c>
      <c r="B84" s="2" t="s">
        <v>137</v>
      </c>
      <c r="C84" s="3" t="s">
        <v>143</v>
      </c>
      <c r="D84" s="2" t="s">
        <v>144</v>
      </c>
      <c r="E84" s="2" t="s">
        <v>145</v>
      </c>
      <c r="F84" s="2" t="s">
        <v>58</v>
      </c>
      <c r="G84" s="2" t="s">
        <v>496</v>
      </c>
      <c r="H84" s="2" t="s">
        <v>111</v>
      </c>
    </row>
    <row r="85" spans="1:8" ht="45" x14ac:dyDescent="0.25">
      <c r="A85" s="2" t="s">
        <v>112</v>
      </c>
      <c r="B85" s="2" t="s">
        <v>146</v>
      </c>
      <c r="C85" s="3" t="s">
        <v>504</v>
      </c>
      <c r="D85" s="2" t="s">
        <v>505</v>
      </c>
      <c r="E85" s="2" t="s">
        <v>147</v>
      </c>
      <c r="F85" s="2" t="s">
        <v>35</v>
      </c>
      <c r="G85" s="2" t="s">
        <v>496</v>
      </c>
      <c r="H85" s="2" t="s">
        <v>15</v>
      </c>
    </row>
    <row r="86" spans="1:8" ht="90" x14ac:dyDescent="0.25">
      <c r="A86" s="2" t="s">
        <v>112</v>
      </c>
      <c r="B86" s="2" t="s">
        <v>146</v>
      </c>
      <c r="C86" s="3" t="s">
        <v>148</v>
      </c>
      <c r="D86" s="2" t="s">
        <v>149</v>
      </c>
      <c r="E86" s="2" t="s">
        <v>147</v>
      </c>
      <c r="F86" s="2" t="s">
        <v>49</v>
      </c>
      <c r="G86" s="4" t="s">
        <v>491</v>
      </c>
      <c r="H86" s="2" t="s">
        <v>15</v>
      </c>
    </row>
    <row r="87" spans="1:8" ht="45" x14ac:dyDescent="0.25">
      <c r="A87" s="2" t="s">
        <v>112</v>
      </c>
      <c r="B87" s="2" t="s">
        <v>146</v>
      </c>
      <c r="C87" s="3" t="s">
        <v>506</v>
      </c>
      <c r="D87" s="2" t="s">
        <v>507</v>
      </c>
      <c r="E87" s="2" t="s">
        <v>147</v>
      </c>
      <c r="F87" s="2" t="s">
        <v>35</v>
      </c>
      <c r="G87" s="2" t="s">
        <v>496</v>
      </c>
      <c r="H87" s="2" t="s">
        <v>15</v>
      </c>
    </row>
    <row r="88" spans="1:8" ht="45" x14ac:dyDescent="0.25">
      <c r="A88" s="2" t="s">
        <v>112</v>
      </c>
      <c r="B88" s="2" t="s">
        <v>146</v>
      </c>
      <c r="C88" s="3" t="s">
        <v>150</v>
      </c>
      <c r="D88" s="2" t="s">
        <v>151</v>
      </c>
      <c r="E88" s="2" t="s">
        <v>147</v>
      </c>
      <c r="F88" s="2" t="s">
        <v>35</v>
      </c>
      <c r="G88" s="2" t="s">
        <v>496</v>
      </c>
      <c r="H88" s="2" t="s">
        <v>111</v>
      </c>
    </row>
    <row r="89" spans="1:8" ht="75" x14ac:dyDescent="0.25">
      <c r="A89" s="2" t="s">
        <v>112</v>
      </c>
      <c r="B89" s="2" t="s">
        <v>155</v>
      </c>
      <c r="C89" s="3" t="s">
        <v>156</v>
      </c>
      <c r="D89" s="2" t="s">
        <v>157</v>
      </c>
      <c r="E89" s="2" t="s">
        <v>158</v>
      </c>
      <c r="F89" s="2" t="s">
        <v>49</v>
      </c>
      <c r="G89" s="4" t="s">
        <v>492</v>
      </c>
      <c r="H89" s="2" t="s">
        <v>15</v>
      </c>
    </row>
    <row r="90" spans="1:8" ht="30" x14ac:dyDescent="0.25">
      <c r="A90" s="2" t="s">
        <v>112</v>
      </c>
      <c r="B90" s="2" t="s">
        <v>155</v>
      </c>
      <c r="C90" s="3" t="s">
        <v>159</v>
      </c>
      <c r="D90" s="2" t="s">
        <v>160</v>
      </c>
      <c r="E90" s="2" t="s">
        <v>158</v>
      </c>
      <c r="F90" s="2" t="s">
        <v>35</v>
      </c>
      <c r="G90" s="2" t="s">
        <v>496</v>
      </c>
      <c r="H90" s="2" t="s">
        <v>15</v>
      </c>
    </row>
    <row r="91" spans="1:8" ht="75" x14ac:dyDescent="0.25">
      <c r="A91" s="2" t="s">
        <v>112</v>
      </c>
      <c r="B91" s="2" t="s">
        <v>155</v>
      </c>
      <c r="C91" s="3" t="s">
        <v>161</v>
      </c>
      <c r="D91" s="2" t="s">
        <v>162</v>
      </c>
      <c r="E91" s="2" t="s">
        <v>163</v>
      </c>
      <c r="F91" s="2" t="s">
        <v>49</v>
      </c>
      <c r="G91" s="4" t="s">
        <v>493</v>
      </c>
      <c r="H91" s="2" t="s">
        <v>15</v>
      </c>
    </row>
    <row r="92" spans="1:8" ht="90" x14ac:dyDescent="0.25">
      <c r="A92" s="2" t="s">
        <v>112</v>
      </c>
      <c r="B92" s="2" t="s">
        <v>164</v>
      </c>
      <c r="C92" s="3" t="s">
        <v>453</v>
      </c>
      <c r="D92" s="2" t="s">
        <v>436</v>
      </c>
      <c r="E92" s="2" t="s">
        <v>538</v>
      </c>
      <c r="F92" s="2" t="s">
        <v>49</v>
      </c>
      <c r="G92" s="4" t="s">
        <v>494</v>
      </c>
      <c r="H92" s="2" t="s">
        <v>111</v>
      </c>
    </row>
    <row r="93" spans="1:8" ht="30" x14ac:dyDescent="0.25">
      <c r="A93" s="2" t="s">
        <v>112</v>
      </c>
      <c r="B93" s="2" t="s">
        <v>164</v>
      </c>
      <c r="C93" s="3" t="s">
        <v>165</v>
      </c>
      <c r="D93" s="2" t="s">
        <v>166</v>
      </c>
      <c r="E93" s="2" t="s">
        <v>167</v>
      </c>
      <c r="F93" s="2" t="s">
        <v>58</v>
      </c>
      <c r="G93" s="2" t="s">
        <v>496</v>
      </c>
      <c r="H93" s="2" t="s">
        <v>15</v>
      </c>
    </row>
    <row r="94" spans="1:8" ht="45" x14ac:dyDescent="0.25">
      <c r="A94" s="2" t="s">
        <v>112</v>
      </c>
      <c r="B94" s="2" t="s">
        <v>164</v>
      </c>
      <c r="C94" s="3" t="s">
        <v>168</v>
      </c>
      <c r="D94" s="2" t="s">
        <v>169</v>
      </c>
      <c r="E94" s="2" t="s">
        <v>167</v>
      </c>
      <c r="F94" s="2" t="s">
        <v>58</v>
      </c>
      <c r="G94" s="2" t="s">
        <v>496</v>
      </c>
      <c r="H94" s="2" t="s">
        <v>15</v>
      </c>
    </row>
    <row r="95" spans="1:8" ht="30" x14ac:dyDescent="0.25">
      <c r="A95" s="2" t="s">
        <v>112</v>
      </c>
      <c r="B95" s="2" t="s">
        <v>164</v>
      </c>
      <c r="C95" s="3" t="s">
        <v>170</v>
      </c>
      <c r="D95" s="2" t="s">
        <v>171</v>
      </c>
      <c r="E95" s="2" t="s">
        <v>167</v>
      </c>
      <c r="F95" s="2" t="s">
        <v>58</v>
      </c>
      <c r="G95" s="2" t="s">
        <v>496</v>
      </c>
      <c r="H95" s="2" t="s">
        <v>21</v>
      </c>
    </row>
    <row r="96" spans="1:8" ht="60" x14ac:dyDescent="0.25">
      <c r="A96" s="2" t="s">
        <v>112</v>
      </c>
      <c r="B96" s="2" t="s">
        <v>465</v>
      </c>
      <c r="C96" s="3" t="s">
        <v>466</v>
      </c>
      <c r="D96" s="2" t="s">
        <v>467</v>
      </c>
      <c r="E96" s="2" t="s">
        <v>468</v>
      </c>
      <c r="F96" s="2" t="s">
        <v>35</v>
      </c>
      <c r="G96" s="2" t="s">
        <v>496</v>
      </c>
      <c r="H96" s="2" t="s">
        <v>21</v>
      </c>
    </row>
    <row r="97" spans="1:8" ht="45" x14ac:dyDescent="0.25">
      <c r="A97" s="2" t="s">
        <v>410</v>
      </c>
      <c r="B97" s="2" t="s">
        <v>457</v>
      </c>
      <c r="C97" s="3" t="s">
        <v>200</v>
      </c>
      <c r="D97" s="2" t="s">
        <v>201</v>
      </c>
      <c r="E97" s="2" t="s">
        <v>81</v>
      </c>
      <c r="F97" s="2" t="s">
        <v>14</v>
      </c>
      <c r="G97" s="2" t="s">
        <v>496</v>
      </c>
      <c r="H97" s="2" t="s">
        <v>15</v>
      </c>
    </row>
    <row r="98" spans="1:8" ht="30" x14ac:dyDescent="0.25">
      <c r="A98" s="2" t="s">
        <v>410</v>
      </c>
      <c r="B98" s="2" t="s">
        <v>457</v>
      </c>
      <c r="C98" s="3" t="s">
        <v>202</v>
      </c>
      <c r="D98" s="2" t="s">
        <v>203</v>
      </c>
      <c r="E98" s="2" t="s">
        <v>81</v>
      </c>
      <c r="F98" s="2" t="s">
        <v>14</v>
      </c>
      <c r="G98" s="2" t="s">
        <v>496</v>
      </c>
      <c r="H98" s="2" t="s">
        <v>15</v>
      </c>
    </row>
    <row r="99" spans="1:8" ht="45" x14ac:dyDescent="0.25">
      <c r="A99" s="2" t="s">
        <v>410</v>
      </c>
      <c r="B99" s="2" t="s">
        <v>439</v>
      </c>
      <c r="C99" s="3" t="s">
        <v>440</v>
      </c>
      <c r="D99" s="2" t="s">
        <v>441</v>
      </c>
      <c r="E99" s="2" t="s">
        <v>447</v>
      </c>
      <c r="F99" s="2" t="s">
        <v>14</v>
      </c>
      <c r="G99" s="2" t="s">
        <v>496</v>
      </c>
      <c r="H99" s="2" t="s">
        <v>15</v>
      </c>
    </row>
    <row r="100" spans="1:8" ht="30" x14ac:dyDescent="0.25">
      <c r="A100" s="2" t="s">
        <v>410</v>
      </c>
      <c r="B100" s="2" t="s">
        <v>222</v>
      </c>
      <c r="C100" s="3" t="s">
        <v>223</v>
      </c>
      <c r="D100" s="2" t="s">
        <v>224</v>
      </c>
      <c r="E100" s="2" t="s">
        <v>497</v>
      </c>
      <c r="F100" s="2" t="s">
        <v>14</v>
      </c>
      <c r="G100" s="2" t="s">
        <v>496</v>
      </c>
      <c r="H100" s="2" t="s">
        <v>21</v>
      </c>
    </row>
    <row r="101" spans="1:8" ht="30" x14ac:dyDescent="0.25">
      <c r="A101" s="2" t="s">
        <v>410</v>
      </c>
      <c r="B101" s="2" t="s">
        <v>222</v>
      </c>
      <c r="C101" s="3" t="s">
        <v>225</v>
      </c>
      <c r="D101" s="2" t="s">
        <v>226</v>
      </c>
      <c r="E101" s="2" t="s">
        <v>81</v>
      </c>
      <c r="F101" s="2" t="s">
        <v>14</v>
      </c>
      <c r="G101" s="2" t="s">
        <v>496</v>
      </c>
      <c r="H101" s="2" t="s">
        <v>21</v>
      </c>
    </row>
    <row r="102" spans="1:8" ht="30" x14ac:dyDescent="0.25">
      <c r="A102" s="2" t="s">
        <v>410</v>
      </c>
      <c r="B102" s="2" t="s">
        <v>222</v>
      </c>
      <c r="C102" s="3" t="s">
        <v>227</v>
      </c>
      <c r="D102" s="2" t="s">
        <v>228</v>
      </c>
      <c r="E102" s="2" t="s">
        <v>81</v>
      </c>
      <c r="F102" s="2" t="s">
        <v>18</v>
      </c>
      <c r="G102" s="4" t="s">
        <v>484</v>
      </c>
      <c r="H102" s="2" t="s">
        <v>15</v>
      </c>
    </row>
    <row r="103" spans="1:8" ht="60" x14ac:dyDescent="0.25">
      <c r="A103" s="2" t="s">
        <v>410</v>
      </c>
      <c r="B103" s="2" t="s">
        <v>282</v>
      </c>
      <c r="C103" s="3" t="s">
        <v>458</v>
      </c>
      <c r="D103" s="2" t="s">
        <v>461</v>
      </c>
      <c r="E103" s="2" t="s">
        <v>81</v>
      </c>
      <c r="F103" s="2" t="s">
        <v>18</v>
      </c>
      <c r="G103" s="4" t="s">
        <v>485</v>
      </c>
      <c r="H103" s="2" t="s">
        <v>111</v>
      </c>
    </row>
    <row r="104" spans="1:8" ht="60" x14ac:dyDescent="0.25">
      <c r="A104" s="2" t="s">
        <v>410</v>
      </c>
      <c r="B104" s="2" t="s">
        <v>282</v>
      </c>
      <c r="C104" s="3" t="s">
        <v>459</v>
      </c>
      <c r="D104" s="2" t="s">
        <v>462</v>
      </c>
      <c r="E104" s="2" t="s">
        <v>81</v>
      </c>
      <c r="F104" s="2" t="s">
        <v>18</v>
      </c>
      <c r="G104" s="4" t="s">
        <v>485</v>
      </c>
      <c r="H104" s="2" t="s">
        <v>15</v>
      </c>
    </row>
    <row r="105" spans="1:8" ht="60" x14ac:dyDescent="0.25">
      <c r="A105" s="2" t="s">
        <v>410</v>
      </c>
      <c r="B105" s="2" t="s">
        <v>282</v>
      </c>
      <c r="C105" s="3" t="s">
        <v>460</v>
      </c>
      <c r="D105" s="2" t="s">
        <v>463</v>
      </c>
      <c r="E105" s="2" t="s">
        <v>81</v>
      </c>
      <c r="F105" s="2" t="s">
        <v>18</v>
      </c>
      <c r="G105" s="4" t="s">
        <v>485</v>
      </c>
      <c r="H105" s="2" t="s">
        <v>15</v>
      </c>
    </row>
    <row r="106" spans="1:8" ht="30" x14ac:dyDescent="0.25">
      <c r="A106" s="2" t="s">
        <v>229</v>
      </c>
      <c r="B106" s="2" t="s">
        <v>320</v>
      </c>
      <c r="C106" s="3" t="s">
        <v>321</v>
      </c>
      <c r="D106" s="2" t="s">
        <v>322</v>
      </c>
      <c r="E106" s="2" t="s">
        <v>57</v>
      </c>
      <c r="F106" s="2" t="s">
        <v>58</v>
      </c>
      <c r="G106" s="2" t="s">
        <v>496</v>
      </c>
      <c r="H106" s="2" t="s">
        <v>111</v>
      </c>
    </row>
    <row r="107" spans="1:8" ht="45" x14ac:dyDescent="0.25">
      <c r="A107" s="2" t="s">
        <v>229</v>
      </c>
      <c r="B107" s="2" t="s">
        <v>320</v>
      </c>
      <c r="C107" s="3" t="s">
        <v>323</v>
      </c>
      <c r="D107" s="2" t="s">
        <v>324</v>
      </c>
      <c r="E107" s="2" t="s">
        <v>57</v>
      </c>
      <c r="F107" s="2" t="s">
        <v>58</v>
      </c>
      <c r="G107" s="2" t="s">
        <v>496</v>
      </c>
      <c r="H107" s="2" t="s">
        <v>111</v>
      </c>
    </row>
    <row r="108" spans="1:8" ht="30" x14ac:dyDescent="0.25">
      <c r="A108" s="2" t="s">
        <v>229</v>
      </c>
      <c r="B108" s="2" t="s">
        <v>320</v>
      </c>
      <c r="C108" s="3" t="s">
        <v>399</v>
      </c>
      <c r="D108" s="2" t="s">
        <v>325</v>
      </c>
      <c r="E108" s="2" t="s">
        <v>57</v>
      </c>
      <c r="F108" s="2" t="s">
        <v>58</v>
      </c>
      <c r="G108" s="2" t="s">
        <v>496</v>
      </c>
      <c r="H108" s="2" t="s">
        <v>15</v>
      </c>
    </row>
    <row r="109" spans="1:8" ht="45" x14ac:dyDescent="0.25">
      <c r="A109" s="2" t="s">
        <v>229</v>
      </c>
      <c r="B109" s="2" t="s">
        <v>292</v>
      </c>
      <c r="C109" s="3" t="s">
        <v>299</v>
      </c>
      <c r="D109" s="2" t="s">
        <v>300</v>
      </c>
      <c r="E109" s="2" t="s">
        <v>497</v>
      </c>
      <c r="F109" s="2" t="s">
        <v>455</v>
      </c>
      <c r="G109" s="4" t="s">
        <v>486</v>
      </c>
      <c r="H109" s="2" t="s">
        <v>15</v>
      </c>
    </row>
    <row r="110" spans="1:8" ht="30" x14ac:dyDescent="0.25">
      <c r="A110" s="2" t="s">
        <v>229</v>
      </c>
      <c r="B110" s="2" t="s">
        <v>301</v>
      </c>
      <c r="C110" s="3" t="s">
        <v>302</v>
      </c>
      <c r="D110" s="2" t="s">
        <v>303</v>
      </c>
      <c r="E110" s="2" t="s">
        <v>304</v>
      </c>
      <c r="F110" s="2" t="s">
        <v>58</v>
      </c>
      <c r="G110" s="2" t="s">
        <v>496</v>
      </c>
      <c r="H110" s="2" t="s">
        <v>111</v>
      </c>
    </row>
    <row r="111" spans="1:8" ht="45" x14ac:dyDescent="0.25">
      <c r="A111" s="2" t="s">
        <v>229</v>
      </c>
      <c r="B111" s="2" t="s">
        <v>301</v>
      </c>
      <c r="C111" s="3" t="s">
        <v>305</v>
      </c>
      <c r="D111" s="2" t="s">
        <v>306</v>
      </c>
      <c r="E111" s="2" t="s">
        <v>307</v>
      </c>
      <c r="F111" s="2" t="s">
        <v>32</v>
      </c>
      <c r="G111" s="4" t="s">
        <v>487</v>
      </c>
      <c r="H111" s="2" t="s">
        <v>15</v>
      </c>
    </row>
    <row r="112" spans="1:8" ht="45" x14ac:dyDescent="0.25">
      <c r="A112" s="2" t="s">
        <v>229</v>
      </c>
      <c r="B112" s="2" t="s">
        <v>259</v>
      </c>
      <c r="C112" s="3" t="s">
        <v>260</v>
      </c>
      <c r="D112" s="2" t="s">
        <v>261</v>
      </c>
      <c r="E112" s="2" t="s">
        <v>497</v>
      </c>
      <c r="F112" s="2" t="s">
        <v>455</v>
      </c>
      <c r="G112" s="4" t="s">
        <v>488</v>
      </c>
      <c r="H112" s="2" t="s">
        <v>15</v>
      </c>
    </row>
    <row r="113" spans="1:8" ht="75" x14ac:dyDescent="0.25">
      <c r="A113" s="2" t="s">
        <v>229</v>
      </c>
      <c r="B113" s="2" t="s">
        <v>282</v>
      </c>
      <c r="C113" s="3" t="s">
        <v>444</v>
      </c>
      <c r="D113" s="2" t="s">
        <v>445</v>
      </c>
      <c r="E113" s="2" t="s">
        <v>446</v>
      </c>
      <c r="F113" s="2" t="s">
        <v>18</v>
      </c>
      <c r="G113" s="2" t="s">
        <v>495</v>
      </c>
      <c r="H113" s="2" t="s">
        <v>15</v>
      </c>
    </row>
    <row r="114" spans="1:8" ht="30" x14ac:dyDescent="0.25">
      <c r="A114" s="2" t="s">
        <v>229</v>
      </c>
      <c r="B114" s="2" t="s">
        <v>283</v>
      </c>
      <c r="C114" s="3" t="s">
        <v>284</v>
      </c>
      <c r="D114" s="2" t="s">
        <v>285</v>
      </c>
      <c r="E114" s="2" t="s">
        <v>286</v>
      </c>
      <c r="F114" s="2" t="s">
        <v>58</v>
      </c>
      <c r="G114" s="2" t="s">
        <v>496</v>
      </c>
      <c r="H114" s="2" t="s">
        <v>15</v>
      </c>
    </row>
    <row r="115" spans="1:8" ht="30" x14ac:dyDescent="0.25">
      <c r="A115" s="2" t="s">
        <v>229</v>
      </c>
      <c r="B115" s="2" t="s">
        <v>283</v>
      </c>
      <c r="C115" s="3" t="s">
        <v>287</v>
      </c>
      <c r="D115" s="2" t="s">
        <v>288</v>
      </c>
      <c r="E115" s="2" t="s">
        <v>167</v>
      </c>
      <c r="F115" s="2" t="s">
        <v>58</v>
      </c>
      <c r="G115" s="2" t="s">
        <v>496</v>
      </c>
      <c r="H115" s="2" t="s">
        <v>15</v>
      </c>
    </row>
    <row r="116" spans="1:8" ht="45" x14ac:dyDescent="0.25">
      <c r="A116" s="2" t="s">
        <v>229</v>
      </c>
      <c r="B116" s="2" t="s">
        <v>301</v>
      </c>
      <c r="C116" s="3" t="s">
        <v>308</v>
      </c>
      <c r="D116" s="2" t="s">
        <v>309</v>
      </c>
      <c r="E116" s="2" t="s">
        <v>310</v>
      </c>
      <c r="F116" s="2" t="s">
        <v>58</v>
      </c>
      <c r="G116" s="2" t="s">
        <v>496</v>
      </c>
      <c r="H116" s="2" t="s">
        <v>111</v>
      </c>
    </row>
  </sheetData>
  <autoFilter ref="A1:H118" xr:uid="{FBE526C9-09A2-4A99-97BB-151DD8C3AFB9}"/>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39fca70-673f-44e1-94c2-b523bb9c108c">
      <Terms xmlns="http://schemas.microsoft.com/office/infopath/2007/PartnerControls"/>
    </lcf76f155ced4ddcb4097134ff3c332f>
    <TaxCatchAll xmlns="7eaf932d-7370-48c5-9459-ae540daf9d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B9E5947890A84F90C1025035B3A9E9" ma:contentTypeVersion="13" ma:contentTypeDescription="Create a new document." ma:contentTypeScope="" ma:versionID="0fe1b0914d5c8b09183d39f4cd0f7192">
  <xsd:schema xmlns:xsd="http://www.w3.org/2001/XMLSchema" xmlns:xs="http://www.w3.org/2001/XMLSchema" xmlns:p="http://schemas.microsoft.com/office/2006/metadata/properties" xmlns:ns2="139fca70-673f-44e1-94c2-b523bb9c108c" xmlns:ns3="7eaf932d-7370-48c5-9459-ae540daf9d7d" targetNamespace="http://schemas.microsoft.com/office/2006/metadata/properties" ma:root="true" ma:fieldsID="356422204f896a562ca62bf92a067cf0" ns2:_="" ns3:_="">
    <xsd:import namespace="139fca70-673f-44e1-94c2-b523bb9c108c"/>
    <xsd:import namespace="7eaf932d-7370-48c5-9459-ae540daf9d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9fca70-673f-44e1-94c2-b523bb9c10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af932d-7370-48c5-9459-ae540daf9d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f2d49e1-b53e-4623-875d-9c890e3999b7}" ma:internalName="TaxCatchAll" ma:showField="CatchAllData" ma:web="7eaf932d-7370-48c5-9459-ae540daf9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57CF69-5D19-450C-935B-68EC43A8DA31}">
  <ds:schemaRefs>
    <ds:schemaRef ds:uri="http://schemas.microsoft.com/office/2006/metadata/properties"/>
    <ds:schemaRef ds:uri="http://schemas.microsoft.com/office/infopath/2007/PartnerControls"/>
    <ds:schemaRef ds:uri="139fca70-673f-44e1-94c2-b523bb9c108c"/>
    <ds:schemaRef ds:uri="7eaf932d-7370-48c5-9459-ae540daf9d7d"/>
  </ds:schemaRefs>
</ds:datastoreItem>
</file>

<file path=customXml/itemProps2.xml><?xml version="1.0" encoding="utf-8"?>
<ds:datastoreItem xmlns:ds="http://schemas.openxmlformats.org/officeDocument/2006/customXml" ds:itemID="{42A97454-B7ED-4BA8-A1AC-B982151F7A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9fca70-673f-44e1-94c2-b523bb9c108c"/>
    <ds:schemaRef ds:uri="7eaf932d-7370-48c5-9459-ae540daf9d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B2BB8B-BA4E-4835-AC34-431A62162A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 Hierarchy</vt:lpstr>
      <vt:lpstr>Breakdown</vt:lpstr>
      <vt:lpstr>Not Applicable</vt:lpstr>
      <vt:lpstr>Process Hier (ARCHIVE)</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Calabro</dc:creator>
  <cp:keywords/>
  <dc:description/>
  <cp:lastModifiedBy>Tony Calabro</cp:lastModifiedBy>
  <cp:revision/>
  <dcterms:created xsi:type="dcterms:W3CDTF">2025-11-04T17:02:59Z</dcterms:created>
  <dcterms:modified xsi:type="dcterms:W3CDTF">2025-11-25T20:29:11Z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0x010100DFB9E5947890A84F90C1025035B3A9E9</vt:lpwstr>
  </property>
  <property fmtid="{D5CDD505-2E9C-101B-9397-08002B2CF9AE}" pid="3" name="MediaServiceImageTags">
    <vt:lpwstr/>
  </property>
</Properties>
</file>