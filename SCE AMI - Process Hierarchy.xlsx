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0" documentId="8_{3D4FF080-7408-4FEA-9FCE-0694A00D1AB9}" xr6:coauthVersionLast="47" xr6:coauthVersionMax="47" xr10:uidLastSave="{00000000-0000-0000-0000-000000000000}"/>
  <bookViews>
    <workbookView xWindow="-120" yWindow="-120" windowWidth="29040" windowHeight="17520" xr2:uid="{C5CF7D8D-18C1-4DA6-BBC5-CBC3C1BDFBAD}"/>
  </bookViews>
  <sheets>
    <sheet name="Process Hierarchy" sheetId="5" r:id="rId1"/>
    <sheet name="IT Release 1 Analysis" sheetId="6" r:id="rId2"/>
    <sheet name="Breakdown" sheetId="4" r:id="rId3"/>
    <sheet name="Not Applicable" sheetId="2" r:id="rId4"/>
    <sheet name="Process Hier (ARCHIVE)" sheetId="1" r:id="rId5"/>
  </sheets>
  <definedNames>
    <definedName name="_xlnm._FilterDatabase" localSheetId="4" hidden="1">'Process Hier (ARCHIVE)'!$A$1:$H$118</definedName>
    <definedName name="_xlnm._FilterDatabase" localSheetId="0" hidden="1">'Process Hierarchy'!$A$1:$Z$108</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5" l="1"/>
  <c r="V2" i="5"/>
  <c r="X2" i="5"/>
  <c r="V3" i="5"/>
  <c r="X3" i="5"/>
  <c r="V4" i="5"/>
  <c r="X4" i="5"/>
  <c r="W5" i="5"/>
  <c r="X5" i="5"/>
  <c r="X6" i="5"/>
  <c r="U7" i="5"/>
  <c r="X8" i="5"/>
  <c r="O9" i="5"/>
  <c r="P9" i="5"/>
  <c r="Q9" i="5"/>
  <c r="R9" i="5"/>
  <c r="S9" i="5"/>
  <c r="T9" i="5"/>
  <c r="U9" i="5"/>
  <c r="V9" i="5"/>
  <c r="W9" i="5"/>
  <c r="X9" i="5"/>
  <c r="Y9" i="5"/>
  <c r="Z9" i="5"/>
  <c r="V10" i="5"/>
  <c r="W10" i="5"/>
  <c r="U11" i="5"/>
  <c r="W11" i="5"/>
  <c r="Y11" i="5"/>
  <c r="U12" i="5"/>
  <c r="W12" i="5"/>
  <c r="P13" i="5"/>
  <c r="U13" i="5"/>
  <c r="U14" i="5"/>
  <c r="W14" i="5"/>
  <c r="U15" i="5"/>
  <c r="W15" i="5"/>
  <c r="U16" i="5"/>
  <c r="W16" i="5"/>
  <c r="P17" i="5"/>
  <c r="U17" i="5"/>
  <c r="U18" i="5"/>
  <c r="W18" i="5"/>
  <c r="U19" i="5"/>
  <c r="Y19" i="5"/>
  <c r="U20" i="5"/>
  <c r="W20" i="5"/>
  <c r="X20" i="5"/>
  <c r="U21" i="5"/>
  <c r="W21" i="5"/>
  <c r="Y21" i="5"/>
  <c r="O22" i="5"/>
  <c r="U22" i="5"/>
  <c r="U23" i="5"/>
  <c r="W23" i="5"/>
  <c r="Y23" i="5"/>
  <c r="W24" i="5"/>
  <c r="U25" i="5"/>
  <c r="W25" i="5"/>
  <c r="W26" i="5"/>
  <c r="Y26" i="5"/>
  <c r="Z26" i="5"/>
  <c r="W27" i="5"/>
  <c r="Z27" i="5"/>
  <c r="W28" i="5"/>
  <c r="Z28" i="5"/>
  <c r="W29" i="5"/>
  <c r="Z29" i="5"/>
  <c r="W30" i="5"/>
  <c r="Z30" i="5"/>
  <c r="R31" i="5"/>
  <c r="S31" i="5"/>
  <c r="W31" i="5"/>
  <c r="Y31" i="5"/>
  <c r="R32" i="5"/>
  <c r="S32" i="5"/>
  <c r="U32" i="5"/>
  <c r="W32" i="5"/>
  <c r="R33" i="5"/>
  <c r="S33" i="5"/>
  <c r="W33" i="5"/>
  <c r="Y33" i="5"/>
  <c r="O34" i="5"/>
  <c r="P34" i="5"/>
  <c r="Q34" i="5"/>
  <c r="R34" i="5"/>
  <c r="S34" i="5"/>
  <c r="T34" i="5"/>
  <c r="U34" i="5"/>
  <c r="V34" i="5"/>
  <c r="W34" i="5"/>
  <c r="X34" i="5"/>
  <c r="Y34" i="5"/>
  <c r="Z34" i="5"/>
  <c r="Y35" i="5"/>
  <c r="O36" i="5"/>
  <c r="Y36" i="5"/>
  <c r="O37" i="5"/>
  <c r="U38" i="5"/>
  <c r="Y38" i="5"/>
  <c r="O39" i="5"/>
  <c r="Y39" i="5"/>
  <c r="Z39" i="5"/>
  <c r="O40" i="5"/>
  <c r="Y40" i="5"/>
  <c r="Z40" i="5"/>
  <c r="O41" i="5"/>
  <c r="Y41" i="5"/>
  <c r="Z41" i="5"/>
  <c r="O42" i="5"/>
  <c r="P42" i="5"/>
  <c r="Q42" i="5"/>
  <c r="R42" i="5"/>
  <c r="S42" i="5"/>
  <c r="T42" i="5"/>
  <c r="U42" i="5"/>
  <c r="V42" i="5"/>
  <c r="W42" i="5"/>
  <c r="X42" i="5"/>
  <c r="Y42" i="5"/>
  <c r="Z42" i="5"/>
  <c r="O43" i="5"/>
  <c r="Y43" i="5"/>
  <c r="Z43" i="5"/>
  <c r="O44" i="5"/>
  <c r="O45" i="5"/>
  <c r="U45" i="5"/>
  <c r="Y45" i="5"/>
  <c r="Z45" i="5"/>
  <c r="O46" i="5"/>
  <c r="P46" i="5"/>
  <c r="Q46" i="5"/>
  <c r="R46" i="5"/>
  <c r="S46" i="5"/>
  <c r="T46" i="5"/>
  <c r="U46" i="5"/>
  <c r="V46" i="5"/>
  <c r="W46" i="5"/>
  <c r="X46" i="5"/>
  <c r="Y46" i="5"/>
  <c r="Z46" i="5"/>
  <c r="O47" i="5"/>
  <c r="Y47" i="5"/>
  <c r="Z47" i="5"/>
  <c r="O48" i="5"/>
  <c r="Z48" i="5"/>
  <c r="O49" i="5"/>
  <c r="P49" i="5"/>
  <c r="O50" i="5"/>
  <c r="P50" i="5"/>
  <c r="O51" i="5"/>
  <c r="O52" i="5"/>
  <c r="P52" i="5"/>
  <c r="O53" i="5"/>
  <c r="P53" i="5"/>
  <c r="Z54" i="5"/>
  <c r="P55" i="5"/>
  <c r="U55" i="5"/>
  <c r="P56" i="5"/>
  <c r="U56" i="5"/>
  <c r="U57" i="5"/>
  <c r="W57" i="5"/>
  <c r="U58" i="5"/>
  <c r="W58" i="5"/>
  <c r="P59" i="5"/>
  <c r="P60" i="5"/>
  <c r="O61" i="5"/>
  <c r="P61" i="5"/>
  <c r="Q61" i="5"/>
  <c r="R61" i="5"/>
  <c r="S61" i="5"/>
  <c r="T61" i="5"/>
  <c r="U61" i="5"/>
  <c r="V61" i="5"/>
  <c r="W61" i="5"/>
  <c r="X61" i="5"/>
  <c r="Y61" i="5"/>
  <c r="Z61" i="5"/>
  <c r="O62" i="5"/>
  <c r="P62" i="5"/>
  <c r="Q62" i="5"/>
  <c r="R62" i="5"/>
  <c r="S62" i="5"/>
  <c r="T62" i="5"/>
  <c r="U62" i="5"/>
  <c r="V62" i="5"/>
  <c r="W62" i="5"/>
  <c r="X62" i="5"/>
  <c r="Y62" i="5"/>
  <c r="Z62" i="5"/>
  <c r="Z63" i="5"/>
  <c r="Y64" i="5"/>
  <c r="O65" i="5"/>
  <c r="P65" i="5"/>
  <c r="Q65" i="5"/>
  <c r="R65" i="5"/>
  <c r="S65" i="5"/>
  <c r="T65" i="5"/>
  <c r="U65" i="5"/>
  <c r="V65" i="5"/>
  <c r="W65" i="5"/>
  <c r="X65" i="5"/>
  <c r="Y65" i="5"/>
  <c r="Z65" i="5"/>
  <c r="V66" i="5"/>
  <c r="Y66" i="5"/>
  <c r="O67" i="5"/>
  <c r="P67" i="5"/>
  <c r="Q67" i="5"/>
  <c r="R67" i="5"/>
  <c r="S67" i="5"/>
  <c r="T67" i="5"/>
  <c r="U67" i="5"/>
  <c r="V67" i="5"/>
  <c r="W67" i="5"/>
  <c r="X67" i="5"/>
  <c r="Y67" i="5"/>
  <c r="Z67" i="5"/>
  <c r="O68" i="5"/>
  <c r="P68" i="5"/>
  <c r="Q68" i="5"/>
  <c r="R68" i="5"/>
  <c r="S68" i="5"/>
  <c r="T68" i="5"/>
  <c r="U68" i="5"/>
  <c r="V68" i="5"/>
  <c r="W68" i="5"/>
  <c r="X68" i="5"/>
  <c r="Y68" i="5"/>
  <c r="Z68" i="5"/>
  <c r="O69" i="5"/>
  <c r="P69" i="5"/>
  <c r="Q69" i="5"/>
  <c r="R69" i="5"/>
  <c r="S69" i="5"/>
  <c r="T69" i="5"/>
  <c r="U69" i="5"/>
  <c r="V69" i="5"/>
  <c r="W69" i="5"/>
  <c r="X69" i="5"/>
  <c r="Y69" i="5"/>
  <c r="Z69" i="5"/>
  <c r="O70" i="5"/>
  <c r="P70" i="5"/>
  <c r="Q70" i="5"/>
  <c r="R70" i="5"/>
  <c r="S70" i="5"/>
  <c r="T70" i="5"/>
  <c r="U70" i="5"/>
  <c r="V70" i="5"/>
  <c r="W70" i="5"/>
  <c r="X70" i="5"/>
  <c r="Y70" i="5"/>
  <c r="Z70" i="5"/>
  <c r="O71" i="5"/>
  <c r="P71" i="5"/>
  <c r="Q71" i="5"/>
  <c r="R71" i="5"/>
  <c r="S71" i="5"/>
  <c r="T71" i="5"/>
  <c r="U71" i="5"/>
  <c r="V71" i="5"/>
  <c r="W71" i="5"/>
  <c r="X71" i="5"/>
  <c r="Y71" i="5"/>
  <c r="Z71" i="5"/>
  <c r="O72" i="5"/>
  <c r="P72" i="5"/>
  <c r="Q72" i="5"/>
  <c r="R72" i="5"/>
  <c r="S72" i="5"/>
  <c r="T72" i="5"/>
  <c r="U72" i="5"/>
  <c r="V72" i="5"/>
  <c r="W72" i="5"/>
  <c r="X72" i="5"/>
  <c r="Y72" i="5"/>
  <c r="Z72" i="5"/>
  <c r="O73" i="5"/>
  <c r="P73" i="5"/>
  <c r="Q73" i="5"/>
  <c r="R73" i="5"/>
  <c r="S73" i="5"/>
  <c r="T73" i="5"/>
  <c r="U73" i="5"/>
  <c r="V73" i="5"/>
  <c r="W73" i="5"/>
  <c r="X73" i="5"/>
  <c r="Y73" i="5"/>
  <c r="Z73" i="5"/>
  <c r="O74" i="5"/>
  <c r="P74" i="5"/>
  <c r="Q74" i="5"/>
  <c r="R74" i="5"/>
  <c r="S74" i="5"/>
  <c r="T74" i="5"/>
  <c r="U74" i="5"/>
  <c r="V74" i="5"/>
  <c r="W74" i="5"/>
  <c r="X74" i="5"/>
  <c r="Y74" i="5"/>
  <c r="Z74" i="5"/>
  <c r="Y75" i="5"/>
  <c r="O76" i="5"/>
  <c r="P76" i="5"/>
  <c r="Q76" i="5"/>
  <c r="R76" i="5"/>
  <c r="S76" i="5"/>
  <c r="T76" i="5"/>
  <c r="U76" i="5"/>
  <c r="V76" i="5"/>
  <c r="W76" i="5"/>
  <c r="X76" i="5"/>
  <c r="Y76" i="5"/>
  <c r="Z76" i="5"/>
  <c r="O77" i="5"/>
  <c r="P77" i="5"/>
  <c r="Q77" i="5"/>
  <c r="R77" i="5"/>
  <c r="S77" i="5"/>
  <c r="T77" i="5"/>
  <c r="U77" i="5"/>
  <c r="V77" i="5"/>
  <c r="W77" i="5"/>
  <c r="X77" i="5"/>
  <c r="Y77" i="5"/>
  <c r="Z77" i="5"/>
  <c r="T78" i="5"/>
  <c r="Y78" i="5"/>
  <c r="T79" i="5"/>
  <c r="Y79" i="5"/>
  <c r="O80" i="5"/>
  <c r="P80" i="5"/>
  <c r="Q80" i="5"/>
  <c r="R80" i="5"/>
  <c r="S80" i="5"/>
  <c r="T80" i="5"/>
  <c r="U80" i="5"/>
  <c r="V80" i="5"/>
  <c r="W80" i="5"/>
  <c r="X80" i="5"/>
  <c r="Y80" i="5"/>
  <c r="Z80" i="5"/>
  <c r="O81" i="5"/>
  <c r="P81" i="5"/>
  <c r="Q81" i="5"/>
  <c r="R81" i="5"/>
  <c r="S81" i="5"/>
  <c r="T81" i="5"/>
  <c r="U81" i="5"/>
  <c r="V81" i="5"/>
  <c r="W81" i="5"/>
  <c r="X81" i="5"/>
  <c r="Y81" i="5"/>
  <c r="Z81" i="5"/>
  <c r="O82" i="5"/>
  <c r="P82" i="5"/>
  <c r="Q82" i="5"/>
  <c r="R82" i="5"/>
  <c r="S82" i="5"/>
  <c r="T82" i="5"/>
  <c r="U82" i="5"/>
  <c r="V82" i="5"/>
  <c r="W82" i="5"/>
  <c r="X82" i="5"/>
  <c r="Y82" i="5"/>
  <c r="Z82" i="5"/>
  <c r="O83" i="5"/>
  <c r="P83" i="5"/>
  <c r="Q83" i="5"/>
  <c r="R83" i="5"/>
  <c r="S83" i="5"/>
  <c r="T83" i="5"/>
  <c r="U83" i="5"/>
  <c r="V83" i="5"/>
  <c r="W83" i="5"/>
  <c r="X83" i="5"/>
  <c r="Y83" i="5"/>
  <c r="Z83" i="5"/>
  <c r="O84" i="5"/>
  <c r="P84" i="5"/>
  <c r="Q84" i="5"/>
  <c r="R84" i="5"/>
  <c r="S84" i="5"/>
  <c r="T84" i="5"/>
  <c r="U84" i="5"/>
  <c r="V84" i="5"/>
  <c r="W84" i="5"/>
  <c r="X84" i="5"/>
  <c r="Y84" i="5"/>
  <c r="Z84" i="5"/>
  <c r="O85" i="5"/>
  <c r="P85" i="5"/>
  <c r="Q85" i="5"/>
  <c r="R85" i="5"/>
  <c r="S85" i="5"/>
  <c r="T85" i="5"/>
  <c r="U85" i="5"/>
  <c r="V85" i="5"/>
  <c r="W85" i="5"/>
  <c r="X85" i="5"/>
  <c r="Y85" i="5"/>
  <c r="Z85" i="5"/>
  <c r="O86" i="5"/>
  <c r="P86" i="5"/>
  <c r="Q86" i="5"/>
  <c r="R86" i="5"/>
  <c r="S86" i="5"/>
  <c r="T86" i="5"/>
  <c r="U86" i="5"/>
  <c r="V86" i="5"/>
  <c r="W86" i="5"/>
  <c r="X86" i="5"/>
  <c r="Y86" i="5"/>
  <c r="Z86" i="5"/>
  <c r="O87" i="5"/>
  <c r="P87" i="5"/>
  <c r="Q87" i="5"/>
  <c r="R87" i="5"/>
  <c r="S87" i="5"/>
  <c r="T87" i="5"/>
  <c r="U87" i="5"/>
  <c r="V87" i="5"/>
  <c r="W87" i="5"/>
  <c r="X87" i="5"/>
  <c r="Y87" i="5"/>
  <c r="Z87" i="5"/>
  <c r="O88" i="5"/>
  <c r="P88" i="5"/>
  <c r="Q88" i="5"/>
  <c r="R88" i="5"/>
  <c r="S88" i="5"/>
  <c r="T88" i="5"/>
  <c r="U88" i="5"/>
  <c r="V88" i="5"/>
  <c r="W88" i="5"/>
  <c r="X88" i="5"/>
  <c r="Y88" i="5"/>
  <c r="Z88" i="5"/>
  <c r="O89" i="5"/>
  <c r="P89" i="5"/>
  <c r="Q89" i="5"/>
  <c r="R89" i="5"/>
  <c r="S89" i="5"/>
  <c r="T89" i="5"/>
  <c r="U89" i="5"/>
  <c r="V89" i="5"/>
  <c r="W89" i="5"/>
  <c r="X89" i="5"/>
  <c r="Y89" i="5"/>
  <c r="Z89" i="5"/>
  <c r="O90" i="5"/>
  <c r="P90" i="5"/>
  <c r="Q90" i="5"/>
  <c r="R90" i="5"/>
  <c r="S90" i="5"/>
  <c r="T90" i="5"/>
  <c r="U90" i="5"/>
  <c r="V90" i="5"/>
  <c r="W90" i="5"/>
  <c r="X90" i="5"/>
  <c r="Y90" i="5"/>
  <c r="Z90" i="5"/>
  <c r="O91" i="5"/>
  <c r="P91" i="5"/>
  <c r="Q91" i="5"/>
  <c r="R91" i="5"/>
  <c r="S91" i="5"/>
  <c r="T91" i="5"/>
  <c r="U91" i="5"/>
  <c r="V91" i="5"/>
  <c r="W91" i="5"/>
  <c r="X91" i="5"/>
  <c r="Y91" i="5"/>
  <c r="Z91" i="5"/>
  <c r="V92" i="5"/>
  <c r="W92" i="5"/>
  <c r="X92" i="5"/>
  <c r="Q93" i="5"/>
  <c r="V93" i="5"/>
  <c r="W93" i="5"/>
  <c r="X93" i="5"/>
  <c r="Q94" i="5"/>
  <c r="V94" i="5"/>
  <c r="W94" i="5"/>
  <c r="X94" i="5"/>
  <c r="V95" i="5"/>
  <c r="W95" i="5"/>
  <c r="Y95" i="5"/>
  <c r="U99" i="5"/>
  <c r="Y99" i="5"/>
  <c r="U100" i="5"/>
  <c r="Y100" i="5"/>
  <c r="Y101" i="5"/>
  <c r="Q102" i="5"/>
  <c r="U102" i="5"/>
  <c r="Y103" i="5"/>
  <c r="O104" i="5"/>
  <c r="P104" i="5"/>
  <c r="Q104" i="5"/>
  <c r="R104" i="5"/>
  <c r="S104" i="5"/>
  <c r="T104" i="5"/>
  <c r="U104" i="5"/>
  <c r="V104" i="5"/>
  <c r="W104" i="5"/>
  <c r="X104" i="5"/>
  <c r="Y104" i="5"/>
  <c r="Z104" i="5"/>
  <c r="O105" i="5"/>
  <c r="P105" i="5"/>
  <c r="Q105" i="5"/>
  <c r="R105" i="5"/>
  <c r="S105" i="5"/>
  <c r="T105" i="5"/>
  <c r="U105" i="5"/>
  <c r="V105" i="5"/>
  <c r="W105" i="5"/>
  <c r="X105" i="5"/>
  <c r="Y105" i="5"/>
  <c r="Z105" i="5"/>
  <c r="O106" i="5"/>
  <c r="P106" i="5"/>
  <c r="Q106" i="5"/>
  <c r="R106" i="5"/>
  <c r="S106" i="5"/>
  <c r="T106" i="5"/>
  <c r="U106" i="5"/>
  <c r="V106" i="5"/>
  <c r="W106" i="5"/>
  <c r="X106" i="5"/>
  <c r="Y106" i="5"/>
  <c r="Z106" i="5"/>
  <c r="O107" i="5"/>
  <c r="P107" i="5"/>
  <c r="Q107" i="5"/>
  <c r="R107" i="5"/>
  <c r="S107" i="5"/>
  <c r="T107" i="5"/>
  <c r="U107" i="5"/>
  <c r="V107" i="5"/>
  <c r="W107" i="5"/>
  <c r="X107" i="5"/>
  <c r="Y107" i="5"/>
  <c r="Z107" i="5"/>
  <c r="O108" i="5"/>
  <c r="P108" i="5"/>
  <c r="Q108" i="5"/>
  <c r="R108" i="5"/>
  <c r="S108" i="5"/>
  <c r="T108" i="5"/>
  <c r="U108" i="5"/>
  <c r="V108" i="5"/>
  <c r="W108" i="5"/>
  <c r="X108" i="5"/>
  <c r="Y108" i="5"/>
  <c r="Z108" i="5"/>
  <c r="N6" i="5"/>
  <c r="N7" i="5"/>
  <c r="N9" i="5"/>
  <c r="N10" i="5"/>
  <c r="N11" i="5"/>
  <c r="N12" i="5"/>
  <c r="N13" i="5"/>
  <c r="N14" i="5"/>
  <c r="N15" i="5"/>
  <c r="N16" i="5"/>
  <c r="N17" i="5"/>
  <c r="N18" i="5"/>
  <c r="N19" i="5"/>
  <c r="N20" i="5"/>
  <c r="N21" i="5"/>
  <c r="N22" i="5"/>
  <c r="N23" i="5"/>
  <c r="N24" i="5"/>
  <c r="N25" i="5"/>
  <c r="N32" i="5"/>
  <c r="N33" i="5"/>
  <c r="N34" i="5"/>
  <c r="N35" i="5"/>
  <c r="N36" i="5"/>
  <c r="N37" i="5"/>
  <c r="N38" i="5"/>
  <c r="N42" i="5"/>
  <c r="N45" i="5"/>
  <c r="N46" i="5"/>
  <c r="N51" i="5"/>
  <c r="N55" i="5"/>
  <c r="N56" i="5"/>
  <c r="N57" i="5"/>
  <c r="N58" i="5"/>
  <c r="N59" i="5"/>
  <c r="N61" i="5"/>
  <c r="N62" i="5"/>
  <c r="N65" i="5"/>
  <c r="N67" i="5"/>
  <c r="N68" i="5"/>
  <c r="N69" i="5"/>
  <c r="N70" i="5"/>
  <c r="N71" i="5"/>
  <c r="N72" i="5"/>
  <c r="N73" i="5"/>
  <c r="N74" i="5"/>
  <c r="N76" i="5"/>
  <c r="N77" i="5"/>
  <c r="N80" i="5"/>
  <c r="N81" i="5"/>
  <c r="N82" i="5"/>
  <c r="N83" i="5"/>
  <c r="N84" i="5"/>
  <c r="N85" i="5"/>
  <c r="N86" i="5"/>
  <c r="N87" i="5"/>
  <c r="N88" i="5"/>
  <c r="N89" i="5"/>
  <c r="N90" i="5"/>
  <c r="N91" i="5"/>
  <c r="N92" i="5"/>
  <c r="N96" i="5"/>
  <c r="N97" i="5"/>
  <c r="N98" i="5"/>
  <c r="N99" i="5"/>
  <c r="N100" i="5"/>
  <c r="N101" i="5"/>
  <c r="N102" i="5"/>
  <c r="N103" i="5"/>
  <c r="N104" i="5"/>
  <c r="N105" i="5"/>
  <c r="N106" i="5"/>
  <c r="N107" i="5"/>
  <c r="N108" i="5"/>
  <c r="K9" i="4"/>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<sst xmlns="http://schemas.openxmlformats.org/spreadsheetml/2006/main" count="3326" uniqueCount="784">
  <si>
    <t>L1 Process Name</t>
  </si>
  <si>
    <t>L2 Process Name</t>
  </si>
  <si>
    <t>L3 Process Name</t>
  </si>
  <si>
    <t>L3 Process Objective</t>
  </si>
  <si>
    <t>Use Case Mapping</t>
  </si>
  <si>
    <t>IT Release</t>
  </si>
  <si>
    <t>Retouch Rationale</t>
  </si>
  <si>
    <t>BRD Size</t>
  </si>
  <si>
    <t>Systems Involved</t>
  </si>
  <si>
    <t xml:space="preserve">Stakeholders Involved </t>
  </si>
  <si>
    <t xml:space="preserve">NG Reference </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</si>
  <si>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</si>
  <si>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</si>
  <si>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</si>
  <si>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</si>
  <si>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</si>
  <si>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</si>
  <si>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</si>
  <si>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</si>
  <si>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</si>
  <si>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</si>
  <si>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Small</t>
  </si>
  <si>
    <t>Register devices in asset and head-end systems</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</si>
  <si>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</si>
  <si>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</si>
  <si>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</si>
  <si>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</si>
  <si>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</si>
  <si>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</si>
  <si>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</si>
  <si>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</si>
  <si>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</si>
  <si>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</si>
  <si>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</si>
  <si>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</si>
  <si>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</si>
  <si>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</si>
  <si>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</si>
  <si>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</si>
  <si>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</si>
  <si>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</si>
  <si>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</si>
  <si>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</si>
  <si>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</si>
  <si>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</si>
  <si>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</si>
  <si>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</si>
  <si>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</si>
  <si>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Manage customer communication during deployment</t>
  </si>
  <si>
    <t>Notify customers of installation schedules</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</si>
  <si>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</si>
  <si>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Use Case 3 – Improve Customer Experience</t>
  </si>
  <si>
    <t>Coordinate installation and commissioning</t>
  </si>
  <si>
    <t>Assign and execute MIV meter deployment work orders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</si>
  <si>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</si>
  <si>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Assign and execute utility-owned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</si>
  <si>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</si>
  <si>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Close MIV work orders and update dashboards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</si>
  <si>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</si>
  <si>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Communicate completion and follow-up</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</si>
  <si>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</si>
  <si>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</si>
  <si>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</si>
  <si>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</si>
  <si>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</si>
  <si>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</si>
  <si>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</si>
  <si>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</si>
  <si>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Field Operations</t>
  </si>
  <si>
    <t>Perform provisioning and connectivity validation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</si>
  <si>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</si>
  <si>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</si>
  <si>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</si>
  <si>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</si>
  <si>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</si>
  <si>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Manage meter field operations</t>
  </si>
  <si>
    <t>Perform steady-state meter installation</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</si>
  <si>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</si>
  <si>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</si>
  <si>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</si>
  <si>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</si>
  <si>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</si>
  <si>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</si>
  <si>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</si>
  <si>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</si>
  <si>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</si>
  <si>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</si>
  <si>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</si>
  <si>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Manage remote connect/disconnect operations</t>
  </si>
  <si>
    <t>Perform remote disconnect / reconnect for move-out</t>
  </si>
  <si>
    <t>Perform remote disconnect / reconnect for move-in</t>
  </si>
  <si>
    <t>Perform remote disconnect for non-payment</t>
  </si>
  <si>
    <t>Perform remote reconnect after payment</t>
  </si>
  <si>
    <t>Manage network device lifecycle</t>
  </si>
  <si>
    <t>Install and maintain network access points</t>
  </si>
  <si>
    <t>Remove network access points and decommission interfaces</t>
  </si>
  <si>
    <t>Removal and decommission network infrastructure devices including required field work orders from EAM, updates topology maps in the HES to reflect the removal, and updates to asset status in EAM to ensure accurate network inventory.</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</si>
  <si>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</si>
  <si>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</si>
  <si>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</si>
  <si>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</si>
  <si>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</si>
  <si>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</si>
  <si>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</si>
  <si>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</si>
  <si>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</si>
  <si>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</si>
  <si>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</si>
  <si>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</si>
  <si>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</si>
  <si>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</si>
  <si>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</si>
  <si>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</si>
  <si>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</si>
  <si>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</si>
  <si>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</si>
  <si>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</si>
  <si>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</si>
  <si>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</si>
  <si>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</si>
  <si>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</si>
  <si>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</si>
  <si>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</si>
  <si>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</si>
  <si>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</si>
  <si>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</si>
  <si>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</si>
  <si>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</si>
  <si>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Generate and distribute bill print and e-bills</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</si>
  <si>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</si>
  <si>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</si>
  <si>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</si>
  <si>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</si>
  <si>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</si>
  <si>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</si>
  <si>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</si>
  <si>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</si>
  <si>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</si>
  <si>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</si>
  <si>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</si>
  <si>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</si>
  <si>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</si>
  <si>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</si>
  <si>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</si>
  <si>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</si>
  <si>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</si>
  <si>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</si>
  <si>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</si>
  <si>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</si>
  <si>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</si>
  <si>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</si>
  <si>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</si>
  <si>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</si>
  <si>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</si>
  <si>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</si>
  <si>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</si>
  <si>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Post-Deployment Opt-Out &amp; Exchange</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</si>
  <si>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</si>
  <si>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Disable AMI communications for opt-out customers</t>
  </si>
  <si>
    <t>Enable AMI communications for re-enrolled customers</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</si>
  <si>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</si>
  <si>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</si>
  <si>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</si>
  <si>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</si>
  <si>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</si>
  <si>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</si>
  <si>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</si>
  <si>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</si>
  <si>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</si>
  <si>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</si>
  <si>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</si>
  <si>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</si>
  <si>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</si>
  <si>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</si>
  <si>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</si>
  <si>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</si>
  <si>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</si>
  <si>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</si>
  <si>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</si>
  <si>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</si>
  <si>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EV Panel Capacity Limits</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</si>
  <si>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</si>
  <si>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</si>
  <si>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</si>
  <si>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</si>
  <si>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</si>
  <si>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</si>
  <si>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</si>
  <si>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</si>
  <si>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</si>
  <si>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</si>
  <si>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</si>
  <si>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</si>
  <si>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</si>
  <si>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</si>
  <si>
    <t>Use Case 11 – Distribution Connectivity Model &amp; Monitoring</t>
  </si>
  <si>
    <t>Monitor environmental conditions</t>
  </si>
  <si>
    <t>Monitor Environmental Sensor Telemetry</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</si>
  <si>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</si>
  <si>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Use Case 9 – Environmental Monitoring</t>
  </si>
  <si>
    <t>Detect and analyze behind-the-meter events</t>
  </si>
  <si>
    <t>Identify and classify EV charging signatures</t>
  </si>
  <si>
    <t>Identify premises with Electric Vehicle (EV) chargers based on characteristic load signatures (magnitude, duration, time of use), tagging these premises in CIS/MDMS to refine load forecasting models and target EV-specific programs.</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</si>
  <si>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</si>
  <si>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</si>
  <si>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</si>
  <si>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</si>
  <si>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</si>
  <si>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</si>
  <si>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Combine interval load data from the MDMS with demographic, program participation, and premises data from CIS to create rich customer load profiles, improve the accuracy of demand forecasting and enabe more nuanced detection of abnormal usage patterns.</t>
  </si>
  <si>
    <t>Use Case 7 – Long-Term Grid Planning
Use Case 18 - Grid Ops: Situational Awareness</t>
  </si>
  <si>
    <t>Detect Unapproved DER Interconnection</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</si>
  <si>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</si>
  <si>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Use Case 8 – Anomaly &amp; Fault Detection BTM
Use Case 4 – Revenue Protection</t>
  </si>
  <si>
    <t>Monitor feeder and transformer loading</t>
  </si>
  <si>
    <t>Aggregate and monitor feeder and transformer loads</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</si>
  <si>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</si>
  <si>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</si>
  <si>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</si>
  <si>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</si>
  <si>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</si>
  <si>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</si>
  <si>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</si>
  <si>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</si>
  <si>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</si>
  <si>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</si>
  <si>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</si>
  <si>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</si>
  <si>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</si>
  <si>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</si>
  <si>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</si>
  <si>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</si>
  <si>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</si>
  <si>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</si>
  <si>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</si>
  <si>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</si>
  <si>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</si>
  <si>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</si>
  <si>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</si>
  <si>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</si>
  <si>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</si>
  <si>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</si>
  <si>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</si>
  <si>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Release 1 uses basic alarms. Release 2 applies advanced analytics (impedance monitoring) to filter false positives.</t>
  </si>
  <si>
    <t>Identify and Resolve Neutral Connection Issues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</si>
  <si>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</si>
  <si>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</si>
  <si>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</si>
  <si>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</si>
  <si>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</si>
  <si>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</si>
  <si>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</si>
  <si>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</si>
  <si>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</si>
  <si>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</si>
  <si>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</si>
  <si>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</si>
  <si>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</si>
  <si>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</si>
  <si>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</si>
  <si>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</si>
  <si>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</si>
  <si>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</si>
  <si>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</si>
  <si>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</si>
  <si>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</si>
  <si>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</si>
  <si>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</si>
  <si>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</si>
  <si>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</si>
  <si>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</si>
  <si>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</si>
  <si>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</si>
  <si>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</si>
  <si>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</si>
  <si>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</si>
  <si>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</si>
  <si>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</si>
  <si>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</si>
  <si>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</si>
  <si>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</si>
  <si>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</si>
  <si>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</si>
  <si>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</si>
  <si>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</si>
  <si>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test or diagnostic commands</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</si>
  <si>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</si>
  <si>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Track device reliability and communication performance</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</si>
  <si>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</si>
  <si>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</si>
  <si>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</si>
  <si>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</si>
  <si>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</si>
  <si>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</si>
  <si>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</si>
  <si>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</si>
  <si>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</si>
  <si>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</si>
  <si>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</si>
  <si>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</si>
  <si>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</si>
  <si>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Release 1 handles basic alarms. Release 3 (Post Event Analysis) requires correlating these events with SCADA/OMS data for complex root cause analysis.</t>
  </si>
  <si>
    <t>Manage data security and privacy</t>
  </si>
  <si>
    <t>Implement role-based access control and encryption</t>
  </si>
  <si>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</si>
  <si>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</si>
  <si>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</si>
  <si>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</si>
  <si>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</si>
  <si>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</si>
  <si>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</si>
  <si>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</si>
  <si>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</si>
  <si>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</si>
  <si>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</si>
  <si>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</si>
  <si>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</si>
  <si>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</si>
  <si>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</si>
  <si>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</si>
  <si>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Use Case 13 – Post Event Analysis
Use Case 18 – Grid Ops: Situational Awareness</t>
  </si>
  <si>
    <t>Automate recurring reports and analytics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</si>
  <si>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</si>
  <si>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</si>
  <si>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</si>
  <si>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</si>
  <si>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</si>
  <si>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</si>
  <si>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</si>
  <si>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</si>
  <si>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</si>
  <si>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</si>
  <si>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</si>
  <si>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</si>
  <si>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</si>
  <si>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</si>
  <si>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</si>
  <si>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</si>
  <si>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</si>
  <si>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</si>
  <si>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</si>
  <si>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</si>
  <si>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</si>
  <si>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</si>
  <si>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</si>
  <si>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</si>
  <si>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</si>
  <si>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</si>
  <si>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</si>
  <si>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</si>
  <si>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</si>
  <si>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</si>
  <si>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</si>
  <si>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</si>
  <si>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</si>
  <si>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</si>
  <si>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</si>
  <si>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</si>
  <si>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</si>
  <si>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</si>
  <si>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</si>
  <si>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</si>
  <si>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</si>
  <si>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</si>
  <si>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</si>
  <si>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</si>
  <si>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</si>
  <si>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</si>
  <si>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</si>
  <si>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</si>
  <si>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</si>
  <si>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</si>
  <si>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</si>
  <si>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</si>
  <si>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</si>
  <si>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</si>
  <si>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</si>
  <si>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</si>
  <si>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</si>
  <si>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</si>
  <si>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</si>
  <si>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</si>
  <si>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</si>
  <si>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</si>
  <si>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</si>
  <si>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</si>
  <si>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</si>
  <si>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</si>
  <si>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</si>
  <si>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</si>
  <si>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</si>
  <si>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</si>
  <si>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</si>
  <si>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</si>
  <si>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</si>
  <si>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</si>
  <si>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</si>
  <si>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</si>
  <si>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</si>
  <si>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</si>
  <si>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</si>
  <si>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</si>
  <si>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</si>
  <si>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</si>
  <si>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</si>
  <si>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</si>
  <si>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</si>
  <si>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</si>
  <si>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</si>
  <si>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</si>
  <si>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</si>
  <si>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</si>
  <si>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</si>
  <si>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</si>
  <si>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</si>
  <si>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</si>
  <si>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</si>
  <si>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</si>
  <si>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</si>
  <si>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</si>
  <si>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</si>
  <si>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</si>
  <si>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</si>
  <si>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</si>
  <si>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</si>
  <si>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</si>
  <si>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</si>
  <si>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</si>
  <si>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</si>
  <si>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</si>
  <si>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</si>
  <si>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</si>
  <si>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</si>
  <si>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</si>
  <si>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</si>
  <si>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</si>
  <si>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</si>
  <si>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</si>
  <si>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</si>
  <si>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</si>
  <si>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</si>
  <si>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</si>
  <si>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</si>
  <si>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</si>
  <si>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</si>
  <si>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</si>
  <si>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</si>
  <si>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</si>
  <si>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</si>
  <si>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</si>
  <si>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</si>
  <si>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</si>
  <si>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</si>
  <si>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</si>
  <si>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</si>
  <si>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</si>
  <si>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</si>
  <si>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</si>
  <si>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</si>
  <si>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</si>
  <si>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</si>
  <si>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</si>
  <si>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</si>
  <si>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</si>
  <si>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</si>
  <si>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</si>
  <si>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</si>
  <si>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</si>
  <si>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</si>
  <si>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</si>
  <si>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</si>
  <si>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</si>
  <si>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</si>
  <si>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</si>
  <si>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</si>
  <si>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</si>
  <si>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</si>
  <si>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</si>
  <si>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</si>
  <si>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</si>
  <si>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</si>
  <si>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</si>
  <si>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</si>
  <si>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</si>
  <si>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</si>
  <si>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</si>
  <si>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</si>
  <si>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</si>
  <si>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</si>
  <si>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</si>
  <si>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</si>
  <si>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</si>
  <si>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</si>
  <si>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</si>
  <si>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</si>
  <si>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</si>
  <si>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</si>
  <si>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Receive, inspect, and validate meter and network device shipments for conformance with specifications.</t>
  </si>
  <si>
    <t>Record unique device identifiers and link assets across asset management, CIS, and MDMS systems.</t>
  </si>
  <si>
    <t>Handle warranty returns, refurbishment cycles, and inventory reconciliation of defective or decommissioned network devices.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</si>
  <si>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</si>
  <si>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</si>
  <si>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</si>
  <si>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</si>
  <si>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</si>
  <si>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</si>
  <si>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</si>
  <si>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</si>
  <si>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Inform customers of upcoming installation dates and access requirements through preferred communication channels.</t>
  </si>
  <si>
    <t>Assign and execute installation work orders</t>
  </si>
  <si>
    <t>Dispatch and complete meter installation work orders via MIV or contractor systems, updating all related records.</t>
  </si>
  <si>
    <t>Record job completion, capture installer performance data, and synchronize updates across enterprise systems.</t>
  </si>
  <si>
    <t>Oversee refurbishment or environmentally compliant disposal of obsolete meters devices removed by MIV.</t>
  </si>
  <si>
    <t>Notify customers upon successful installation and provide usage education or contact information for support.</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</si>
  <si>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</si>
  <si>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</si>
  <si>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</si>
  <si>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</si>
  <si>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</si>
  <si>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</si>
  <si>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</si>
  <si>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</si>
  <si>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</si>
  <si>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</si>
  <si>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</si>
  <si>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</si>
  <si>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</si>
  <si>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</si>
  <si>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</si>
  <si>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</si>
  <si>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</si>
  <si>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Identify meters drawing load post-disconnect and flag for investigation.</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</si>
  <si>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</si>
  <si>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</si>
  <si>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</si>
  <si>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</si>
  <si>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</si>
  <si>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Produce and issue customer bills through print and electronic delivery channels, ensuring timely distribution and compliance.</t>
  </si>
  <si>
    <t>Manage billing exceptions and rebills</t>
  </si>
  <si>
    <t>Identify, investigate, and resolve billing errors or anomalies to maintain billing accuracy and customer trust.</t>
  </si>
  <si>
    <t>Correct previously issued bills due to meter, data, or rate errors and reissue accurate versions.</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</si>
  <si>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</si>
  <si>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</si>
  <si>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</si>
  <si>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</si>
  <si>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</si>
  <si>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Calculate baseline usage (CBL) and performance metrics for DR events to determine financial settlement/credits distinct from standard billing.</t>
  </si>
  <si>
    <t>Use Case 3- Improve Customer Experience</t>
  </si>
  <si>
    <t>Configure panel capacity thresholds and safe-loading limits in the back-office system to enable "Panel Upgrade Avoidance" logic at the edge.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</si>
  <si>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</si>
  <si>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</si>
  <si>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</si>
  <si>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</si>
  <si>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</si>
  <si>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</si>
  <si>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</si>
  <si>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Deliver disaggregated energy insights and usage summaries to customers through digital channels.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</si>
  <si>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</si>
  <si>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</si>
  <si>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</si>
  <si>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</si>
  <si>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</si>
  <si>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</si>
  <si>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</si>
  <si>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</si>
  <si>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</si>
  <si>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</si>
  <si>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</si>
  <si>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</si>
  <si>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</si>
  <si>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</si>
  <si>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</si>
  <si>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</si>
  <si>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</si>
  <si>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Remotely disable meter communications for customers who have opted out.</t>
  </si>
  <si>
    <t>Re-enable meter communications for customers who rejoin AMI programs after opting out.</t>
  </si>
  <si>
    <t>Process opt-out customer move-in / move-out events</t>
  </si>
  <si>
    <t>Update enrollment and billing settings when opt-out customers move into or out of premises.</t>
  </si>
  <si>
    <t>Validate communication and registration of newly installed meters with the head-end and MDMS systems.</t>
  </si>
  <si>
    <t>Confirm that newly installed meters are correctly provisioned, communicating, and fully validated in the MDMS so they are ready to generate billable usage.</t>
  </si>
  <si>
    <t>Coordinate installation, maintenance, and retirement of network access points or routers supporting AMI communications.</t>
  </si>
  <si>
    <t>Remove obsolete or faulty network access points or routers and update network configuration.</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</si>
  <si>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</si>
  <si>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</si>
  <si>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</si>
  <si>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</si>
  <si>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</si>
  <si>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</si>
  <si>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</si>
  <si>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</si>
  <si>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</si>
  <si>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</si>
  <si>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</si>
  <si>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</si>
  <si>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</si>
  <si>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Execute remote disconnect commands for delinquent accounts following compliance and notification procedures.</t>
  </si>
  <si>
    <t>Validate payment, execute remote reconnect command, and verify service restoration.</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</si>
  <si>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</si>
  <si>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</si>
  <si>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</si>
  <si>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</si>
  <si>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</si>
  <si>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</si>
  <si>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</si>
  <si>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</si>
  <si>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</si>
  <si>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</si>
  <si>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</si>
  <si>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Send real-time outage and restoration status updates to impacted customers through preferred communication channels.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</si>
  <si>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</si>
  <si>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</si>
  <si>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Perform targeted AMI pings to assess outage boundaries or diagnose partial restoration conditions without triggering formal OMS restoration updates.</t>
  </si>
  <si>
    <t>Collect and analyze feeder and transformer load data to detect overloads or unbalanced conditions.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</si>
  <si>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</si>
  <si>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</si>
  <si>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</si>
  <si>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</si>
  <si>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</si>
  <si>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</si>
  <si>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</si>
  <si>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</si>
  <si>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</si>
  <si>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</si>
  <si>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</si>
  <si>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</si>
  <si>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</si>
  <si>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Monitor real-time temperature alarms from meters, validate "Hot Socket" conditions, and trigger immediate safety disconnects or field dispatches.</t>
  </si>
  <si>
    <t>UC 8: Anomaly &amp; Fault Detection BTM
UC 5: Advanced Outage Identification</t>
  </si>
  <si>
    <t>Release 1 uses basic alarms. Release 2 applies advanced analytics (impedance monitoring) to filter false positives, changing the "Respond" workflow.</t>
  </si>
  <si>
    <t>Analyze voltage and impedance data to detect "Loose Neutral" conditions and prioritize field investigation to prevent equipment damage.</t>
  </si>
  <si>
    <t>UC 8: Anomaly &amp; Fault Detection BTM
UC 10: Performance &amp; Health of Dist. System</t>
  </si>
  <si>
    <t>Detect load patterns associated with EV charging to enhance load forecasting and grid planning.</t>
  </si>
  <si>
    <t>Detect rooftop solar and battery generation</t>
  </si>
  <si>
    <t>Identify customer-installed DER generation events using AMI interval and harmonic data.</t>
  </si>
  <si>
    <t>Compare detected generation signatures against known interconnection records to identify unauthorized solar or storage back-feeding.</t>
  </si>
  <si>
    <t>UC 8: Anomaly &amp; Fault Detection BTM
UC 4: Revenue Protection</t>
  </si>
  <si>
    <t>Analyze BTM load data with customer profiles to refine forecasting and anomaly detection.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</si>
  <si>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</si>
  <si>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</si>
  <si>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</si>
  <si>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</si>
  <si>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</si>
  <si>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Analyze voltage angle data or signal injection results to identify and correct mislabeled electrical phases (A/B/C) in the GIS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</si>
  <si>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</si>
  <si>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</si>
  <si>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</si>
  <si>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</si>
  <si>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</si>
  <si>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</si>
  <si>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</si>
  <si>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</si>
  <si>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</si>
  <si>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</si>
  <si>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</si>
  <si>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Request and analyze high-resolution waveform captures (pre/post event) to determine the specific electrical signature of complex faults.</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</si>
  <si>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</si>
  <si>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</si>
  <si>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</si>
  <si>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</si>
  <si>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</si>
  <si>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</si>
  <si>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</si>
  <si>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</si>
  <si>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Collect and monitor non-electrical telemetry (e.g., ambient temperature, seismic activity, air quality) from capable AMI devices to support grid planning and public safety initiatives.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</si>
  <si>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</si>
  <si>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</si>
  <si>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</si>
  <si>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</si>
  <si>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</si>
  <si>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</si>
  <si>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Track the expiration and renewal of device security certificates (LDevID) to ensure no asset becomes orphaned due to credential expiry.</t>
  </si>
  <si>
    <t>UC 14: AMI 2.0 Interoperability
UC 4: Revenue Protection</t>
  </si>
  <si>
    <t>Perform real-time meter read or ping commands to verify meter connectivity or resolve exceptions.</t>
  </si>
  <si>
    <t>Send diagnostic commands to validate meter health or confirm firmware behavior.</t>
  </si>
  <si>
    <t>Monitor meter reliability, communication stability, and recurring issue patterns.</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</si>
  <si>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</si>
  <si>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</si>
  <si>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</si>
  <si>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</si>
  <si>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</si>
  <si>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</si>
  <si>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</si>
  <si>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</si>
  <si>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</si>
  <si>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</si>
  <si>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</si>
  <si>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Transfer validated AMI datasets to the enterprise data lake for use in analytics and data science.</t>
  </si>
  <si>
    <t>Correlate operational events to identify cross-domain dependencies and performance insights.</t>
  </si>
  <si>
    <t>Use Case 13 – Post Event Analysis, Use Case 14 – AMI 2.0 Interoperability</t>
  </si>
  <si>
    <t>Examine AMI-generated events (alarms, last-gasp, reconnects) to derive actionable insights.</t>
  </si>
  <si>
    <t>Use Case 13 – Post Event Analysis, Use Case 5 – Advanced Outage Identification and Location Awareness</t>
  </si>
  <si>
    <t>Enforce access control and data encryption to secure AMI data at rest and in transit.</t>
  </si>
  <si>
    <t>Define and maintain the business logic for meter groups (e.g., "Fire Risk Zones," "EV Users") used to target firmware, configurations, and commands.</t>
  </si>
  <si>
    <t>UC 14: AMI 2.0 Interoperability
UC 3: Improve Customer Experience</t>
  </si>
  <si>
    <t>Create and maintain dashboards to visualize AMI performance, reliability, and customer insights.</t>
  </si>
  <si>
    <t>Use Case 13 – Post Event Analysis, Use Case 18 – Grid Ops: Situational Awareness</t>
  </si>
  <si>
    <t>Automate generation and distribution of recurring performance and compliance reports.</t>
  </si>
  <si>
    <t>Detect inconsistencies between AMI, OMS, and SCADA data to enhance reliability.</t>
  </si>
  <si>
    <t>Use Case 13 – Post Event Analysis, Use Case 15 – Fault &amp; Incipient Fault Identification on the Distribution System</t>
  </si>
  <si>
    <t xml:space="preserve">Receiving &amp; Testing </t>
  </si>
  <si>
    <t xml:space="preserve">Receiving &amp; Testing, (L+G MMF file) </t>
  </si>
  <si>
    <t>Procurement (partially)</t>
  </si>
  <si>
    <t>Use Case 8 – Anomaly &amp; Fault Detection BTM</t>
  </si>
  <si>
    <t>Use Case 13 – Post Event Analysis
Use Case 5 – Advanced Outage Identification and Location Awareness
Use Case 9 - Environmental Monitoring</t>
  </si>
  <si>
    <t>Removed on 1/16, SCE does not do MRO</t>
  </si>
  <si>
    <t>Manage Program-Based Virtual Net Metering (VNM) Allocations</t>
  </si>
  <si>
    <t>Manage Program-Based NEM Aggregation Structures</t>
  </si>
  <si>
    <t>Manage Platform-Based Complex Metering Relationships</t>
  </si>
  <si>
    <t>Define, configure, and maintain complex metering relationships—including deduct meters, totalizer arrangements, and sub-metering structures—by establishing parent-child device hierarchies, applying aggregation or subtraction rules to interval and register data, and producing auditable billing determinants for accurate CIS settlement.</t>
  </si>
  <si>
    <t>Replace AMI Meter with Non-Communicating Meter (Opt-Out)</t>
  </si>
  <si>
    <t>Replace Non-Communicating Meter with AMI Meter (Re-Enrollment)</t>
  </si>
  <si>
    <t>Execute the end-to-end opt-out workflow by validating customer eligibility, generating and dispatching a field work order to exchange the AMI meter for a non-communicating mechanical meter, updating asset, billing, and enrollment records, and confirming the premise is excluded from AMI communications and data collection.</t>
  </si>
  <si>
    <t>Execute the re-enrollment workflow for customers opting back into AMI by validating eligibility, scheduling and completing a field exchange from a non-communicating mechanical meter to an AMI meter, provisioning the new device in AMI systems, and restoring full billing and communication functionality.</t>
  </si>
  <si>
    <t>Continuously monitor and analyze HES performance data and meter event logs to calculate meter reliability metrics (e.g., daily read success rates, latency, event frequency), identify poorly performing meters or localized communication issues, and detect recurring patterns requiring remediation.</t>
  </si>
  <si>
    <t>Monitor Meter Reliability and Communication Performance</t>
  </si>
  <si>
    <t>Install and Commission AMI Network Access Points</t>
  </si>
  <si>
    <t>Install and technically commission AMI field network infrastructure (e.g., take-out points, relays, collectors), including site planning, work order execution, and registration of devices into the HES network management layer.</t>
  </si>
  <si>
    <t>Monitor and Maintain AMI Network Infrastructure Performance</t>
  </si>
  <si>
    <t>Continuously monitor network access point health and performance using HES network telemetry to identify coverage gaps, routing congestion, or device failures and initiate corrective maintenance or optimization actions.</t>
  </si>
  <si>
    <t>Perform automated workflow triggered by a customer move-out request in CIS, orchestrating a remote disconnect command via the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</si>
  <si>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</si>
  <si>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</si>
  <si>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HES to restore service, verifying successful reconnection through meter feedback, and notifying the customer, including handling technical failures that delay restoration.</t>
  </si>
  <si>
    <t>RMA</t>
  </si>
  <si>
    <t xml:space="preserve">Vendor install </t>
  </si>
  <si>
    <t xml:space="preserve">N/A - didn’t have a specific topic on this but there are general topics around exceptoins that could touch on this topic </t>
  </si>
  <si>
    <t xml:space="preserve">Customer Contact </t>
  </si>
  <si>
    <t xml:space="preserve">CMS Install </t>
  </si>
  <si>
    <t xml:space="preserve">Vendor install exceptions </t>
  </si>
  <si>
    <t xml:space="preserve">N/A -&gt; May have some supporting docs from NY/MA workshops </t>
  </si>
  <si>
    <t xml:space="preserve">Asset Return and Retire </t>
  </si>
  <si>
    <t>RCD</t>
  </si>
  <si>
    <t xml:space="preserve">FAN Install </t>
  </si>
  <si>
    <t xml:space="preserve">AMI Network Monitoring </t>
  </si>
  <si>
    <t xml:space="preserve">Meter Reads? </t>
  </si>
  <si>
    <t xml:space="preserve">VEE Exceptions </t>
  </si>
  <si>
    <t xml:space="preserve">TOU Billing </t>
  </si>
  <si>
    <t>Demand</t>
  </si>
  <si>
    <t xml:space="preserve">N/A (maybe data sync errors?) </t>
  </si>
  <si>
    <t xml:space="preserve">On cycle Billing </t>
  </si>
  <si>
    <t xml:space="preserve">Billing Exceptions? </t>
  </si>
  <si>
    <t xml:space="preserve">Referenced in billing exceptons </t>
  </si>
  <si>
    <t xml:space="preserve">N/A - Maybe CMO had some documentation </t>
  </si>
  <si>
    <t xml:space="preserve">Events and alarms? </t>
  </si>
  <si>
    <t xml:space="preserve">Opt out </t>
  </si>
  <si>
    <t xml:space="preserve">opt out / CMS install </t>
  </si>
  <si>
    <t xml:space="preserve">Green Button Connect </t>
  </si>
  <si>
    <t xml:space="preserve">Firmware upgrade </t>
  </si>
  <si>
    <t>N/a</t>
  </si>
  <si>
    <t xml:space="preserve">Remote Reconfiguration </t>
  </si>
  <si>
    <t xml:space="preserve">Power / Statud Check </t>
  </si>
  <si>
    <t xml:space="preserve">Events/alarms </t>
  </si>
  <si>
    <t xml:space="preserve">Fan Corrective? </t>
  </si>
  <si>
    <t xml:space="preserve">Emergency Remote Disconnect / Events/Alarms </t>
  </si>
  <si>
    <t xml:space="preserve">Outage identification </t>
  </si>
  <si>
    <t xml:space="preserve">Outage Identification / Resolution </t>
  </si>
  <si>
    <t>Priority</t>
  </si>
  <si>
    <t>Process Owner</t>
  </si>
  <si>
    <t>Advanced Meter Operations (AMO)</t>
  </si>
  <si>
    <t>Billing Ops</t>
  </si>
  <si>
    <t>Customer Programs &amp; Services (CP&amp;S)</t>
  </si>
  <si>
    <t>Cyber Security</t>
  </si>
  <si>
    <t>DGS - FAN</t>
  </si>
  <si>
    <t>DGS - Grid Ops</t>
  </si>
  <si>
    <t>Grid Operations</t>
  </si>
  <si>
    <t>ICOE</t>
  </si>
  <si>
    <t>Meter Engineering (ME)</t>
  </si>
  <si>
    <t>Meter Field Operations (MFO)</t>
  </si>
  <si>
    <t>Meter Shop</t>
  </si>
  <si>
    <t>Reliability Operations – Distribution Ops Center (DOC)</t>
  </si>
  <si>
    <t>Revenue Services Organization (RSO – SRT)</t>
  </si>
  <si>
    <t>Wave 1</t>
  </si>
  <si>
    <t>x</t>
  </si>
  <si>
    <t>Wave 3</t>
  </si>
  <si>
    <t>Wave 2</t>
  </si>
  <si>
    <t>Assign and execute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</si>
  <si>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Wave 4</t>
  </si>
  <si>
    <t>Perform automated workflow triggered by a new customer move-in request in CIS, orchestrating a remote connect command via the HES to restore service, validating voltage presence at the meter, and updating account status in CIS, including managing exceptions where MDMS safety checks prevent remote reconnection.</t>
  </si>
  <si>
    <t>Manage the end-to-end lifecycle of Virtual Net Metering arrangements, defining the complex virtual relationships between a central generating facility and multiple non-collocated beneficiary accounts (e.g., tenants), and maintaining the dynamic percentage-based credit allocation schedules required to distribute generation credits accurately on ongoing monthly bills.</t>
  </si>
  <si>
    <t>Wave 5</t>
  </si>
  <si>
    <t>Manage Secure Third-Party Data Exchange Lifecycle (Supplier, Research Institution)</t>
  </si>
  <si>
    <t xml:space="preserve">Priority </t>
  </si>
  <si>
    <t xml:space="preserve">Process Owner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</si>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</sst>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
      <b/>
      <sz val="11"/>
      <color rgb="FF1F1F1F"/>
      <name val="Arial"/>
    </font>
    <font>
      <b/>
      <sz val="11"/>
      <name val="Calibri"/>
      <family val="2"/>
    </font>
    <font>
      <sz val="11"/>
      <color rgb="FF1F1F1F"/>
      <name val="Arial"/>
    </font>
  </fonts>
  <fills count="16">
    <fill>
      <patternFill patternType="none"/>
    </fill>
    <fill>
      <patternFill patternType="gray125"/>
    </fill>
    <fill>
      <patternFill patternType="solid">
        <fgColor rgb="FFD1D1D1"/>
        <bgColor indexed="64"/>
      </patternFill>
    </fill>
    <fill>
      <patternFill patternType="solid">
        <fgColor rgb="FFFFFF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00B0F0"/>
        <bgColor indexed="64"/>
      </patternFill>
    </fill>
    <fill>
      <patternFill patternType="solid">
        <fgColor theme="5" tint="0.59999389629810485"/>
        <bgColor indexed="64"/>
      </patternFill>
    </fill>
    <fill>
      <patternFill patternType="solid">
        <fgColor theme="3" tint="0.89999084444715716"/>
        <bgColor indexed="64"/>
      </patternFill>
    </fill>
    <fill>
      <patternFill patternType="solid">
        <fgColor rgb="FF92D05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749992370372631"/>
        <bgColor indexed="64"/>
      </patternFill>
    </fill>
    <fill>
      <patternFill patternType="solid">
        <fgColor rgb="FF00B050"/>
        <bgColor indexed="64"/>
      </patternFill>
    </fill>
  </fills>
  <borders count="1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
      <left style="medium">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bottom style="medium">
        <color rgb="FF000000"/>
      </bottom>
      <diagonal/>
    </border>
  </borders>
  <cellStyleXfs count="1">
    <xf numFmtId="0" fontId="0" fillId="0" borderId="0"/>
  </cellStyleXfs>
  <cellXfs count="44">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9" fillId="0" borderId="0" xfId="0" applyFont="1" applyAlignment="1">
      <alignment horizontal="center" vertical="center" wrapText="1" readingOrder="1"/>
    </xf>
    <xf numFmtId="0" fontId="10" fillId="0" borderId="8" xfId="0" applyFont="1" applyBorder="1" applyAlignment="1">
      <alignment horizontal="center" vertical="center" textRotation="42" wrapText="1"/>
    </xf>
    <xf numFmtId="0" fontId="0" fillId="0" borderId="0" xfId="0" applyAlignment="1">
      <alignment horizontal="center" vertical="center"/>
    </xf>
    <xf numFmtId="0" fontId="3" fillId="4" borderId="1" xfId="0" applyFont="1" applyFill="1" applyBorder="1" applyAlignment="1">
      <alignment vertical="center" wrapText="1" readingOrder="1"/>
    </xf>
    <xf numFmtId="0" fontId="11" fillId="0" borderId="1" xfId="0" applyFont="1" applyBorder="1" applyAlignment="1">
      <alignment vertical="center" wrapText="1" readingOrder="1"/>
    </xf>
    <xf numFmtId="0" fontId="11" fillId="0" borderId="9" xfId="0" applyFont="1" applyBorder="1" applyAlignment="1">
      <alignment vertical="center" wrapText="1" readingOrder="1"/>
    </xf>
    <xf numFmtId="0" fontId="3" fillId="0" borderId="1" xfId="0" applyFont="1" applyBorder="1" applyAlignment="1">
      <alignment horizontal="center" vertical="center" wrapText="1" readingOrder="1"/>
    </xf>
    <xf numFmtId="0" fontId="3" fillId="5" borderId="1" xfId="0" applyFont="1" applyFill="1" applyBorder="1" applyAlignment="1">
      <alignment vertical="center" wrapText="1" readingOrder="1"/>
    </xf>
    <xf numFmtId="0" fontId="3" fillId="6" borderId="1" xfId="0" applyFont="1" applyFill="1" applyBorder="1" applyAlignment="1">
      <alignment vertical="center" wrapText="1" readingOrder="1"/>
    </xf>
    <xf numFmtId="0" fontId="3" fillId="7" borderId="1" xfId="0" applyFont="1" applyFill="1" applyBorder="1" applyAlignment="1">
      <alignment vertical="center" wrapText="1" readingOrder="1"/>
    </xf>
    <xf numFmtId="0" fontId="3" fillId="3" borderId="1" xfId="0" applyFont="1" applyFill="1" applyBorder="1" applyAlignment="1">
      <alignment vertical="center" wrapText="1" readingOrder="1"/>
    </xf>
    <xf numFmtId="0" fontId="3" fillId="8" borderId="1" xfId="0" applyFont="1" applyFill="1" applyBorder="1" applyAlignment="1">
      <alignment vertical="center" wrapText="1" readingOrder="1"/>
    </xf>
    <xf numFmtId="0" fontId="3" fillId="9" borderId="1" xfId="0" applyFont="1" applyFill="1" applyBorder="1" applyAlignment="1">
      <alignment vertical="center" wrapText="1" readingOrder="1"/>
    </xf>
    <xf numFmtId="0" fontId="3" fillId="10" borderId="1" xfId="0" applyFont="1" applyFill="1" applyBorder="1" applyAlignment="1">
      <alignment vertical="center" wrapText="1" readingOrder="1"/>
    </xf>
    <xf numFmtId="0" fontId="3" fillId="11" borderId="1" xfId="0" applyFont="1" applyFill="1" applyBorder="1" applyAlignment="1">
      <alignment vertical="center" wrapText="1" readingOrder="1"/>
    </xf>
    <xf numFmtId="0" fontId="3" fillId="12" borderId="1" xfId="0" applyFont="1" applyFill="1" applyBorder="1" applyAlignment="1">
      <alignment vertical="center" wrapText="1" readingOrder="1"/>
    </xf>
    <xf numFmtId="0" fontId="3" fillId="12" borderId="2" xfId="0" applyFont="1" applyFill="1" applyBorder="1" applyAlignment="1">
      <alignment vertical="center" wrapText="1" readingOrder="1"/>
    </xf>
    <xf numFmtId="0" fontId="3" fillId="13" borderId="1" xfId="0" applyFont="1" applyFill="1" applyBorder="1" applyAlignment="1">
      <alignment vertical="center" wrapText="1" readingOrder="1"/>
    </xf>
    <xf numFmtId="0" fontId="3" fillId="14" borderId="1" xfId="0" applyFont="1" applyFill="1" applyBorder="1" applyAlignment="1">
      <alignment vertical="center" wrapText="1" readingOrder="1"/>
    </xf>
    <xf numFmtId="0" fontId="4" fillId="15"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0" borderId="7" xfId="0" applyFont="1" applyBorder="1" applyAlignment="1">
      <alignment vertical="center" wrapText="1" readingOrder="1"/>
    </xf>
    <xf numFmtId="0" fontId="0" fillId="0" borderId="8" xfId="0" applyBorder="1"/>
    <xf numFmtId="0" fontId="4" fillId="15" borderId="7" xfId="0" applyFont="1" applyFill="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46:H46"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Z1048575"/>
  <sheetViews>
    <sheetView showGridLines="0" tabSelected="1" zoomScale="60" zoomScaleNormal="60" workbookViewId="0">
      <pane xSplit="4" ySplit="1" topLeftCell="E2" activePane="bottomRight" state="frozen"/>
      <selection pane="topRight" activeCell="E1" sqref="E1"/>
      <selection pane="bottomLeft" activeCell="A2" sqref="A2"/>
      <selection pane="bottomRight" activeCell="D100" sqref="D100"/>
    </sheetView>
  </sheetViews>
  <sheetFormatPr defaultRowHeight="15" x14ac:dyDescent="0.25"/>
  <cols>
    <col min="1" max="1" width="25.28515625" customWidth="1"/>
    <col min="2" max="2" width="31.42578125" customWidth="1"/>
    <col min="3" max="3" width="35.28515625" customWidth="1"/>
    <col min="4" max="4" width="73.42578125" customWidth="1"/>
    <col min="5" max="5" width="43.85546875" customWidth="1"/>
    <col min="6" max="6" width="20.140625" customWidth="1"/>
    <col min="7" max="7" width="46.140625" customWidth="1"/>
    <col min="8" max="8" width="37.140625" customWidth="1"/>
    <col min="9" max="9" width="31.85546875" customWidth="1"/>
    <col min="10" max="10" width="29.85546875" customWidth="1"/>
    <col min="11" max="11" width="35.140625" customWidth="1"/>
    <col min="12" max="13" width="16.140625" customWidth="1"/>
  </cols>
  <sheetData>
    <row r="1" spans="1:26" ht="71.45" customHeight="1" thickBot="1" x14ac:dyDescent="0.3">
      <c r="A1" s="39" t="s">
        <v>0</v>
      </c>
      <c r="B1" s="39" t="s">
        <v>1</v>
      </c>
      <c r="C1" s="39" t="s">
        <v>2</v>
      </c>
      <c r="D1" s="39" t="s">
        <v>3</v>
      </c>
      <c r="E1" s="39" t="s">
        <v>4</v>
      </c>
      <c r="F1" s="39" t="s">
        <v>5</v>
      </c>
      <c r="G1" s="39" t="s">
        <v>6</v>
      </c>
      <c r="H1" s="39" t="s">
        <v>7</v>
      </c>
      <c r="I1" s="40" t="s">
        <v>8</v>
      </c>
      <c r="J1" s="40" t="s">
        <v>9</v>
      </c>
      <c r="K1" s="40" t="s">
        <v>10</v>
      </c>
      <c r="L1" s="39" t="s">
        <v>781</v>
      </c>
      <c r="M1" s="43" t="s">
        <v>782</v>
      </c>
      <c r="N1" s="21" t="s">
        <v>758</v>
      </c>
      <c r="O1" s="21" t="s">
        <v>759</v>
      </c>
      <c r="P1" s="21" t="s">
        <v>760</v>
      </c>
      <c r="Q1" s="21" t="s">
        <v>761</v>
      </c>
      <c r="R1" s="21" t="s">
        <v>762</v>
      </c>
      <c r="S1" s="21" t="s">
        <v>763</v>
      </c>
      <c r="T1" s="21" t="s">
        <v>764</v>
      </c>
      <c r="U1" s="21" t="s">
        <v>765</v>
      </c>
      <c r="V1" s="21" t="s">
        <v>766</v>
      </c>
      <c r="W1" s="21" t="s">
        <v>767</v>
      </c>
      <c r="X1" s="21" t="s">
        <v>768</v>
      </c>
      <c r="Y1" s="21" t="s">
        <v>769</v>
      </c>
      <c r="Z1" s="21" t="s">
        <v>770</v>
      </c>
    </row>
    <row r="2" spans="1:26" ht="62.25" customHeight="1" thickBot="1" x14ac:dyDescent="0.3">
      <c r="A2" s="10" t="s">
        <v>11</v>
      </c>
      <c r="B2" s="10" t="s">
        <v>12</v>
      </c>
      <c r="C2" s="10" t="s">
        <v>13</v>
      </c>
      <c r="D2" s="10" t="s">
        <v>14</v>
      </c>
      <c r="E2" s="10" t="s">
        <v>15</v>
      </c>
      <c r="F2" s="10" t="s">
        <v>16</v>
      </c>
      <c r="G2" s="10" t="s">
        <v>17</v>
      </c>
      <c r="H2" s="10" t="s">
        <v>18</v>
      </c>
      <c r="I2" s="10"/>
      <c r="J2" s="10"/>
      <c r="K2" s="10" t="s">
        <v>701</v>
      </c>
      <c r="L2" s="10" t="s">
        <v>771</v>
      </c>
      <c r="M2" s="41"/>
      <c r="N2" s="42" t="str">
        <f>_xlfn.XLOOKUP($C2,'IT Release 1 Analysis'!$C$2:$C$75,'IT Release 1 Analysis'!K$2:K$75," ")</f>
        <v>x</v>
      </c>
      <c r="O2" s="42"/>
      <c r="P2" s="42"/>
      <c r="Q2" s="42"/>
      <c r="R2" s="42"/>
      <c r="S2" s="42"/>
      <c r="T2" s="42"/>
      <c r="U2" s="42"/>
      <c r="V2" s="42" t="str">
        <f>_xlfn.XLOOKUP($C2,'IT Release 1 Analysis'!$C$2:$C$75,'IT Release 1 Analysis'!S$2:S$75," ")</f>
        <v>x</v>
      </c>
      <c r="W2" s="42"/>
      <c r="X2" s="42" t="str">
        <f>_xlfn.XLOOKUP($C2,'IT Release 1 Analysis'!$C$2:$C$75,'IT Release 1 Analysis'!U$2:U$75," ")</f>
        <v>x</v>
      </c>
      <c r="Y2" s="42"/>
      <c r="Z2" s="42"/>
    </row>
    <row r="3" spans="1:26" ht="86.25" thickBot="1" x14ac:dyDescent="0.3">
      <c r="A3" s="10" t="s">
        <v>11</v>
      </c>
      <c r="B3" s="10" t="s">
        <v>12</v>
      </c>
      <c r="C3" s="10" t="s">
        <v>19</v>
      </c>
      <c r="D3" s="17" t="s">
        <v>20</v>
      </c>
      <c r="E3" s="10" t="s">
        <v>15</v>
      </c>
      <c r="F3" s="10" t="s">
        <v>16</v>
      </c>
      <c r="G3" s="10" t="s">
        <v>17</v>
      </c>
      <c r="H3" s="10" t="s">
        <v>21</v>
      </c>
      <c r="I3" s="10"/>
      <c r="J3" s="10"/>
      <c r="K3" s="10" t="s">
        <v>699</v>
      </c>
      <c r="L3" s="10" t="s">
        <v>771</v>
      </c>
      <c r="M3" s="41"/>
      <c r="N3" s="42"/>
      <c r="O3" s="42"/>
      <c r="P3" s="42"/>
      <c r="Q3" s="42"/>
      <c r="R3" s="42"/>
      <c r="S3" s="42"/>
      <c r="T3" s="42"/>
      <c r="U3" s="42"/>
      <c r="V3" s="42" t="str">
        <f>_xlfn.XLOOKUP($C3,'IT Release 1 Analysis'!$C$2:$C$75,'IT Release 1 Analysis'!S$2:S$75," ")</f>
        <v>x</v>
      </c>
      <c r="W3" s="42"/>
      <c r="X3" s="42" t="str">
        <f>_xlfn.XLOOKUP($C3,'IT Release 1 Analysis'!$C$2:$C$75,'IT Release 1 Analysis'!U$2:U$75," ")</f>
        <v>x</v>
      </c>
      <c r="Y3" s="42"/>
      <c r="Z3" s="42"/>
    </row>
    <row r="4" spans="1:26" ht="86.25" thickBot="1" x14ac:dyDescent="0.3">
      <c r="A4" s="10" t="s">
        <v>11</v>
      </c>
      <c r="B4" s="10" t="s">
        <v>12</v>
      </c>
      <c r="C4" s="10" t="s">
        <v>22</v>
      </c>
      <c r="D4" s="17" t="s">
        <v>23</v>
      </c>
      <c r="E4" s="10" t="s">
        <v>24</v>
      </c>
      <c r="F4" s="10" t="s">
        <v>16</v>
      </c>
      <c r="G4" s="10" t="s">
        <v>17</v>
      </c>
      <c r="H4" s="10" t="s">
        <v>18</v>
      </c>
      <c r="I4" s="10"/>
      <c r="J4" s="10"/>
      <c r="K4" s="10" t="s">
        <v>700</v>
      </c>
      <c r="L4" s="10" t="s">
        <v>771</v>
      </c>
      <c r="M4" s="41"/>
      <c r="N4" s="42"/>
      <c r="O4" s="42"/>
      <c r="P4" s="42"/>
      <c r="Q4" s="42"/>
      <c r="R4" s="42"/>
      <c r="S4" s="42"/>
      <c r="T4" s="42"/>
      <c r="U4" s="42"/>
      <c r="V4" s="42" t="str">
        <f>_xlfn.XLOOKUP($C4,'IT Release 1 Analysis'!$C$2:$C$75,'IT Release 1 Analysis'!S$2:S$75," ")</f>
        <v>x</v>
      </c>
      <c r="W4" s="42"/>
      <c r="X4" s="42" t="str">
        <f>_xlfn.XLOOKUP($C4,'IT Release 1 Analysis'!$C$2:$C$75,'IT Release 1 Analysis'!U$2:U$75," ")</f>
        <v>x</v>
      </c>
      <c r="Y4" s="42"/>
      <c r="Z4" s="42"/>
    </row>
    <row r="5" spans="1:26" ht="72" thickBot="1" x14ac:dyDescent="0.3">
      <c r="A5" s="10" t="s">
        <v>11</v>
      </c>
      <c r="B5" s="10" t="s">
        <v>25</v>
      </c>
      <c r="C5" s="10" t="s">
        <v>26</v>
      </c>
      <c r="D5" s="10" t="s">
        <v>27</v>
      </c>
      <c r="E5" s="10" t="s">
        <v>15</v>
      </c>
      <c r="F5" s="10" t="s">
        <v>16</v>
      </c>
      <c r="G5" s="10" t="s">
        <v>17</v>
      </c>
      <c r="H5" s="10" t="s">
        <v>21</v>
      </c>
      <c r="I5" s="10"/>
      <c r="J5" s="10"/>
      <c r="K5" s="10" t="s">
        <v>17</v>
      </c>
      <c r="L5" s="10" t="s">
        <v>771</v>
      </c>
      <c r="M5" s="41"/>
      <c r="N5" s="42"/>
      <c r="O5" s="42"/>
      <c r="P5" s="42"/>
      <c r="Q5" s="42"/>
      <c r="R5" s="42"/>
      <c r="S5" s="42"/>
      <c r="T5" s="42"/>
      <c r="U5" s="42"/>
      <c r="V5" s="42"/>
      <c r="W5" s="42" t="str">
        <f>_xlfn.XLOOKUP($C5,'IT Release 1 Analysis'!$C$2:$C$75,'IT Release 1 Analysis'!T$2:T$75," ")</f>
        <v>x</v>
      </c>
      <c r="X5" s="42" t="str">
        <f>_xlfn.XLOOKUP($C5,'IT Release 1 Analysis'!$C$2:$C$75,'IT Release 1 Analysis'!U$2:U$75," ")</f>
        <v>x</v>
      </c>
      <c r="Y5" s="42"/>
      <c r="Z5" s="42"/>
    </row>
    <row r="6" spans="1:26" ht="91.5" customHeight="1" thickBot="1" x14ac:dyDescent="0.3">
      <c r="A6" s="10" t="s">
        <v>11</v>
      </c>
      <c r="B6" s="10" t="s">
        <v>25</v>
      </c>
      <c r="C6" s="10" t="s">
        <v>28</v>
      </c>
      <c r="D6" s="10" t="s">
        <v>29</v>
      </c>
      <c r="E6" s="10" t="s">
        <v>15</v>
      </c>
      <c r="F6" s="10" t="s">
        <v>16</v>
      </c>
      <c r="G6" s="10" t="s">
        <v>17</v>
      </c>
      <c r="H6" s="10" t="s">
        <v>18</v>
      </c>
      <c r="I6" s="10"/>
      <c r="J6" s="10"/>
      <c r="K6" s="10" t="s">
        <v>17</v>
      </c>
      <c r="L6" s="10" t="s">
        <v>773</v>
      </c>
      <c r="M6" s="41"/>
      <c r="N6" s="42" t="str">
        <f>_xlfn.XLOOKUP($C6,'IT Release 1 Analysis'!$C$2:$C$75,'IT Release 1 Analysis'!K$2:K$75," ")</f>
        <v>x</v>
      </c>
      <c r="O6" s="42"/>
      <c r="P6" s="42"/>
      <c r="Q6" s="42"/>
      <c r="R6" s="42"/>
      <c r="S6" s="42"/>
      <c r="T6" s="42"/>
      <c r="U6" s="42"/>
      <c r="V6" s="42"/>
      <c r="W6" s="42"/>
      <c r="X6" s="42" t="str">
        <f>_xlfn.XLOOKUP($C6,'IT Release 1 Analysis'!$C$2:$C$75,'IT Release 1 Analysis'!U$2:U$75," ")</f>
        <v>x</v>
      </c>
      <c r="Y6" s="42"/>
      <c r="Z6" s="42"/>
    </row>
    <row r="7" spans="1:26" ht="57.75" thickBot="1" x14ac:dyDescent="0.3">
      <c r="A7" s="10" t="s">
        <v>11</v>
      </c>
      <c r="B7" s="10" t="s">
        <v>30</v>
      </c>
      <c r="C7" s="10" t="s">
        <v>31</v>
      </c>
      <c r="D7" s="10" t="s">
        <v>32</v>
      </c>
      <c r="E7" s="10" t="s">
        <v>15</v>
      </c>
      <c r="F7" s="10" t="s">
        <v>16</v>
      </c>
      <c r="G7" s="10" t="s">
        <v>17</v>
      </c>
      <c r="H7" s="10" t="s">
        <v>18</v>
      </c>
      <c r="I7" s="10"/>
      <c r="J7" s="10"/>
      <c r="K7" s="10" t="s">
        <v>723</v>
      </c>
      <c r="L7" s="10" t="s">
        <v>771</v>
      </c>
      <c r="M7" s="41"/>
      <c r="N7" s="42" t="str">
        <f>_xlfn.XLOOKUP($C7,'IT Release 1 Analysis'!$C$2:$C$75,'IT Release 1 Analysis'!K$2:K$75," ")</f>
        <v>x</v>
      </c>
      <c r="O7" s="42"/>
      <c r="P7" s="42"/>
      <c r="Q7" s="42"/>
      <c r="R7" s="42"/>
      <c r="S7" s="42"/>
      <c r="T7" s="42"/>
      <c r="U7" s="42" t="str">
        <f>_xlfn.XLOOKUP($C7,'IT Release 1 Analysis'!$C$2:$C$75,'IT Release 1 Analysis'!R$2:R$75," ")</f>
        <v>x</v>
      </c>
      <c r="V7" s="42"/>
      <c r="W7" s="42"/>
      <c r="X7" s="42"/>
      <c r="Y7" s="42"/>
      <c r="Z7" s="42"/>
    </row>
    <row r="8" spans="1:26" ht="43.5" thickBot="1" x14ac:dyDescent="0.3">
      <c r="A8" s="10" t="s">
        <v>11</v>
      </c>
      <c r="B8" s="10" t="s">
        <v>30</v>
      </c>
      <c r="C8" s="10" t="s">
        <v>33</v>
      </c>
      <c r="D8" s="10" t="s">
        <v>34</v>
      </c>
      <c r="E8" s="10" t="s">
        <v>15</v>
      </c>
      <c r="F8" s="10" t="s">
        <v>16</v>
      </c>
      <c r="G8" s="10" t="s">
        <v>17</v>
      </c>
      <c r="H8" s="10" t="s">
        <v>18</v>
      </c>
      <c r="I8" s="10"/>
      <c r="J8" s="10"/>
      <c r="K8" s="10" t="s">
        <v>17</v>
      </c>
      <c r="L8" s="10" t="s">
        <v>773</v>
      </c>
      <c r="M8" s="41"/>
      <c r="N8" s="42"/>
      <c r="O8" s="42"/>
      <c r="P8" s="42"/>
      <c r="Q8" s="42"/>
      <c r="R8" s="42"/>
      <c r="S8" s="42"/>
      <c r="T8" s="42"/>
      <c r="U8" s="42"/>
      <c r="V8" s="42"/>
      <c r="W8" s="42"/>
      <c r="X8" s="42" t="str">
        <f>_xlfn.XLOOKUP($C8,'IT Release 1 Analysis'!$C$2:$C$75,'IT Release 1 Analysis'!U$2:U$75," ")</f>
        <v>x</v>
      </c>
      <c r="Y8" s="42"/>
      <c r="Z8" s="42"/>
    </row>
    <row r="9" spans="1:26" ht="86.25" thickBot="1" x14ac:dyDescent="0.3">
      <c r="A9" s="10" t="s">
        <v>11</v>
      </c>
      <c r="B9" s="10" t="s">
        <v>30</v>
      </c>
      <c r="C9" s="10" t="s">
        <v>35</v>
      </c>
      <c r="D9" s="17" t="s">
        <v>36</v>
      </c>
      <c r="E9" s="10" t="s">
        <v>15</v>
      </c>
      <c r="F9" s="10" t="s">
        <v>37</v>
      </c>
      <c r="G9" s="10" t="s">
        <v>17</v>
      </c>
      <c r="H9" s="10" t="s">
        <v>18</v>
      </c>
      <c r="I9" s="10"/>
      <c r="J9" s="10"/>
      <c r="K9" s="10" t="s">
        <v>752</v>
      </c>
      <c r="L9" s="10" t="s">
        <v>783</v>
      </c>
      <c r="M9" s="41"/>
      <c r="N9" s="42" t="str">
        <f>_xlfn.XLOOKUP($C9,'IT Release 1 Analysis'!$C$2:$C$75,'IT Release 1 Analysis'!K$2:K$75," ")</f>
        <v xml:space="preserve"> </v>
      </c>
      <c r="O9" s="42" t="str">
        <f>_xlfn.XLOOKUP($C9,'IT Release 1 Analysis'!$C$2:$C$75,'IT Release 1 Analysis'!L$2:L$75," ")</f>
        <v xml:space="preserve"> </v>
      </c>
      <c r="P9" s="42" t="str">
        <f>_xlfn.XLOOKUP($C9,'IT Release 1 Analysis'!$C$2:$C$75,'IT Release 1 Analysis'!M$2:M$75," ")</f>
        <v xml:space="preserve"> </v>
      </c>
      <c r="Q9" s="42" t="str">
        <f>_xlfn.XLOOKUP($C9,'IT Release 1 Analysis'!$C$2:$C$75,'IT Release 1 Analysis'!N$2:N$75," ")</f>
        <v xml:space="preserve"> </v>
      </c>
      <c r="R9" s="42" t="str">
        <f>_xlfn.XLOOKUP($C9,'IT Release 1 Analysis'!$C$2:$C$75,'IT Release 1 Analysis'!O$2:O$75," ")</f>
        <v xml:space="preserve"> </v>
      </c>
      <c r="S9" s="42" t="str">
        <f>_xlfn.XLOOKUP($C9,'IT Release 1 Analysis'!$C$2:$C$75,'IT Release 1 Analysis'!P$2:P$75," ")</f>
        <v xml:space="preserve"> </v>
      </c>
      <c r="T9" s="42" t="str">
        <f>_xlfn.XLOOKUP($C9,'IT Release 1 Analysis'!$C$2:$C$75,'IT Release 1 Analysis'!Q$2:Q$75," ")</f>
        <v xml:space="preserve"> </v>
      </c>
      <c r="U9" s="42" t="str">
        <f>_xlfn.XLOOKUP($C9,'IT Release 1 Analysis'!$C$2:$C$75,'IT Release 1 Analysis'!R$2:R$75," ")</f>
        <v xml:space="preserve"> </v>
      </c>
      <c r="V9" s="42" t="str">
        <f>_xlfn.XLOOKUP($C9,'IT Release 1 Analysis'!$C$2:$C$75,'IT Release 1 Analysis'!S$2:S$75," ")</f>
        <v xml:space="preserve"> </v>
      </c>
      <c r="W9" s="42" t="str">
        <f>_xlfn.XLOOKUP($C9,'IT Release 1 Analysis'!$C$2:$C$75,'IT Release 1 Analysis'!T$2:T$75," ")</f>
        <v xml:space="preserve"> </v>
      </c>
      <c r="X9" s="42" t="str">
        <f>_xlfn.XLOOKUP($C9,'IT Release 1 Analysis'!$C$2:$C$75,'IT Release 1 Analysis'!U$2:U$75," ")</f>
        <v xml:space="preserve"> </v>
      </c>
      <c r="Y9" s="42" t="str">
        <f>_xlfn.XLOOKUP($C9,'IT Release 1 Analysis'!$C$2:$C$75,'IT Release 1 Analysis'!V$2:V$75," ")</f>
        <v xml:space="preserve"> </v>
      </c>
      <c r="Z9" s="42" t="str">
        <f>_xlfn.XLOOKUP($C9,'IT Release 1 Analysis'!$C$2:$C$75,'IT Release 1 Analysis'!W$2:W$75," ")</f>
        <v xml:space="preserve"> </v>
      </c>
    </row>
    <row r="10" spans="1:26" ht="57.75" thickBot="1" x14ac:dyDescent="0.3">
      <c r="A10" s="10" t="s">
        <v>11</v>
      </c>
      <c r="B10" s="10" t="s">
        <v>38</v>
      </c>
      <c r="C10" s="10" t="s">
        <v>39</v>
      </c>
      <c r="D10" s="10" t="s">
        <v>40</v>
      </c>
      <c r="E10" s="10" t="s">
        <v>15</v>
      </c>
      <c r="F10" s="10" t="s">
        <v>16</v>
      </c>
      <c r="G10" s="10" t="s">
        <v>17</v>
      </c>
      <c r="H10" s="10" t="s">
        <v>18</v>
      </c>
      <c r="I10" s="10"/>
      <c r="J10" s="10"/>
      <c r="K10" s="10" t="s">
        <v>699</v>
      </c>
      <c r="L10" s="10" t="s">
        <v>771</v>
      </c>
      <c r="M10" s="41"/>
      <c r="N10" s="42" t="str">
        <f>_xlfn.XLOOKUP($C10,'IT Release 1 Analysis'!$C$2:$C$75,'IT Release 1 Analysis'!K$2:K$75," ")</f>
        <v>x</v>
      </c>
      <c r="O10" s="42"/>
      <c r="P10" s="42"/>
      <c r="Q10" s="42"/>
      <c r="R10" s="42"/>
      <c r="S10" s="42"/>
      <c r="T10" s="42"/>
      <c r="U10" s="42"/>
      <c r="V10" s="42" t="str">
        <f>_xlfn.XLOOKUP($C10,'IT Release 1 Analysis'!$C$2:$C$75,'IT Release 1 Analysis'!S$2:S$75," ")</f>
        <v>x</v>
      </c>
      <c r="W10" s="42" t="str">
        <f>_xlfn.XLOOKUP($C10,'IT Release 1 Analysis'!$C$2:$C$75,'IT Release 1 Analysis'!T$2:T$75," ")</f>
        <v>x</v>
      </c>
      <c r="X10" s="42"/>
      <c r="Y10" s="42"/>
      <c r="Z10" s="42"/>
    </row>
    <row r="11" spans="1:26" ht="57.75" thickBot="1" x14ac:dyDescent="0.3">
      <c r="A11" s="10" t="s">
        <v>41</v>
      </c>
      <c r="B11" s="10" t="s">
        <v>42</v>
      </c>
      <c r="C11" s="10" t="s">
        <v>43</v>
      </c>
      <c r="D11" s="10" t="s">
        <v>44</v>
      </c>
      <c r="E11" s="10" t="s">
        <v>15</v>
      </c>
      <c r="F11" s="10" t="s">
        <v>16</v>
      </c>
      <c r="G11" s="10" t="s">
        <v>17</v>
      </c>
      <c r="H11" s="10" t="s">
        <v>45</v>
      </c>
      <c r="I11" s="10"/>
      <c r="J11" s="10"/>
      <c r="K11" s="10" t="s">
        <v>724</v>
      </c>
      <c r="L11" s="10" t="s">
        <v>774</v>
      </c>
      <c r="M11" s="41"/>
      <c r="N11" s="42" t="str">
        <f>_xlfn.XLOOKUP($C11,'IT Release 1 Analysis'!$C$2:$C$75,'IT Release 1 Analysis'!K$2:K$75," ")</f>
        <v>x</v>
      </c>
      <c r="O11" s="42"/>
      <c r="P11" s="42"/>
      <c r="Q11" s="42"/>
      <c r="R11" s="42"/>
      <c r="S11" s="42"/>
      <c r="T11" s="42"/>
      <c r="U11" s="42" t="str">
        <f>_xlfn.XLOOKUP($C11,'IT Release 1 Analysis'!$C$2:$C$75,'IT Release 1 Analysis'!R$2:R$75," ")</f>
        <v>x</v>
      </c>
      <c r="V11" s="42"/>
      <c r="W11" s="42" t="str">
        <f>_xlfn.XLOOKUP($C11,'IT Release 1 Analysis'!$C$2:$C$75,'IT Release 1 Analysis'!T$2:T$75," ")</f>
        <v>x</v>
      </c>
      <c r="X11" s="42"/>
      <c r="Y11" s="42" t="str">
        <f>_xlfn.XLOOKUP($C11,'IT Release 1 Analysis'!$C$2:$C$75,'IT Release 1 Analysis'!V$2:V$75," ")</f>
        <v>x</v>
      </c>
      <c r="Z11" s="42"/>
    </row>
    <row r="12" spans="1:26" ht="72" thickBot="1" x14ac:dyDescent="0.3">
      <c r="A12" s="10" t="s">
        <v>41</v>
      </c>
      <c r="B12" s="10" t="s">
        <v>42</v>
      </c>
      <c r="C12" s="10" t="s">
        <v>46</v>
      </c>
      <c r="D12" s="17" t="s">
        <v>47</v>
      </c>
      <c r="E12" s="10" t="s">
        <v>15</v>
      </c>
      <c r="F12" s="10" t="s">
        <v>16</v>
      </c>
      <c r="G12" s="10" t="s">
        <v>17</v>
      </c>
      <c r="H12" s="10" t="s">
        <v>18</v>
      </c>
      <c r="I12" s="10"/>
      <c r="J12" s="10"/>
      <c r="K12" s="10" t="s">
        <v>725</v>
      </c>
      <c r="L12" s="10" t="s">
        <v>774</v>
      </c>
      <c r="M12" s="41"/>
      <c r="N12" s="42" t="str">
        <f>_xlfn.XLOOKUP($C12,'IT Release 1 Analysis'!$C$2:$C$75,'IT Release 1 Analysis'!K$2:K$75," ")</f>
        <v>x</v>
      </c>
      <c r="O12" s="42"/>
      <c r="P12" s="42"/>
      <c r="Q12" s="42"/>
      <c r="R12" s="42"/>
      <c r="S12" s="42"/>
      <c r="T12" s="42"/>
      <c r="U12" s="42" t="str">
        <f>_xlfn.XLOOKUP($C12,'IT Release 1 Analysis'!$C$2:$C$75,'IT Release 1 Analysis'!R$2:R$75," ")</f>
        <v>x</v>
      </c>
      <c r="V12" s="42"/>
      <c r="W12" s="42" t="str">
        <f>_xlfn.XLOOKUP($C12,'IT Release 1 Analysis'!$C$2:$C$75,'IT Release 1 Analysis'!T$2:T$75," ")</f>
        <v>x</v>
      </c>
      <c r="X12" s="42"/>
      <c r="Y12" s="42"/>
      <c r="Z12" s="42"/>
    </row>
    <row r="13" spans="1:26" ht="72" thickBot="1" x14ac:dyDescent="0.3">
      <c r="A13" s="10" t="s">
        <v>41</v>
      </c>
      <c r="B13" s="10" t="s">
        <v>48</v>
      </c>
      <c r="C13" s="10" t="s">
        <v>49</v>
      </c>
      <c r="D13" s="17" t="s">
        <v>50</v>
      </c>
      <c r="E13" s="10" t="s">
        <v>51</v>
      </c>
      <c r="F13" s="10" t="s">
        <v>16</v>
      </c>
      <c r="G13" s="10" t="s">
        <v>17</v>
      </c>
      <c r="H13" s="10" t="s">
        <v>21</v>
      </c>
      <c r="I13" s="10"/>
      <c r="J13" s="10"/>
      <c r="K13" s="10" t="s">
        <v>726</v>
      </c>
      <c r="L13" s="10" t="s">
        <v>771</v>
      </c>
      <c r="M13" s="41"/>
      <c r="N13" s="42" t="str">
        <f>_xlfn.XLOOKUP($C13,'IT Release 1 Analysis'!$C$2:$C$75,'IT Release 1 Analysis'!K$2:K$75," ")</f>
        <v>x</v>
      </c>
      <c r="O13" s="42"/>
      <c r="P13" s="42" t="str">
        <f>_xlfn.XLOOKUP($C13,'IT Release 1 Analysis'!$C$2:$C$75,'IT Release 1 Analysis'!M$2:M$75," ")</f>
        <v>x</v>
      </c>
      <c r="Q13" s="42"/>
      <c r="R13" s="42"/>
      <c r="S13" s="42"/>
      <c r="T13" s="42"/>
      <c r="U13" s="42" t="str">
        <f>_xlfn.XLOOKUP($C13,'IT Release 1 Analysis'!$C$2:$C$75,'IT Release 1 Analysis'!R$2:R$75," ")</f>
        <v>x</v>
      </c>
      <c r="V13" s="42"/>
      <c r="W13" s="42"/>
      <c r="X13" s="42"/>
      <c r="Y13" s="42"/>
      <c r="Z13" s="42"/>
    </row>
    <row r="14" spans="1:26" ht="86.25" thickBot="1" x14ac:dyDescent="0.3">
      <c r="A14" s="10" t="s">
        <v>41</v>
      </c>
      <c r="B14" s="10" t="s">
        <v>52</v>
      </c>
      <c r="C14" s="10" t="s">
        <v>53</v>
      </c>
      <c r="D14" s="17" t="s">
        <v>54</v>
      </c>
      <c r="E14" s="10" t="s">
        <v>15</v>
      </c>
      <c r="F14" s="10" t="s">
        <v>16</v>
      </c>
      <c r="G14" s="10" t="s">
        <v>17</v>
      </c>
      <c r="H14" s="10" t="s">
        <v>18</v>
      </c>
      <c r="I14" s="10"/>
      <c r="J14" s="10"/>
      <c r="K14" s="10" t="s">
        <v>724</v>
      </c>
      <c r="L14" s="10" t="s">
        <v>774</v>
      </c>
      <c r="M14" s="41"/>
      <c r="N14" s="42" t="str">
        <f>_xlfn.XLOOKUP($C14,'IT Release 1 Analysis'!$C$2:$C$75,'IT Release 1 Analysis'!K$2:K$75," ")</f>
        <v>x</v>
      </c>
      <c r="O14" s="42"/>
      <c r="P14" s="42"/>
      <c r="Q14" s="42"/>
      <c r="R14" s="42"/>
      <c r="S14" s="42"/>
      <c r="T14" s="42"/>
      <c r="U14" s="42" t="str">
        <f>_xlfn.XLOOKUP($C14,'IT Release 1 Analysis'!$C$2:$C$75,'IT Release 1 Analysis'!R$2:R$75," ")</f>
        <v>x</v>
      </c>
      <c r="V14" s="42"/>
      <c r="W14" s="42" t="str">
        <f>_xlfn.XLOOKUP($C14,'IT Release 1 Analysis'!$C$2:$C$75,'IT Release 1 Analysis'!T$2:T$75," ")</f>
        <v>x</v>
      </c>
      <c r="X14" s="42"/>
      <c r="Y14" s="42"/>
      <c r="Z14" s="42"/>
    </row>
    <row r="15" spans="1:26" ht="72" thickBot="1" x14ac:dyDescent="0.3">
      <c r="A15" s="10" t="s">
        <v>41</v>
      </c>
      <c r="B15" s="10" t="s">
        <v>52</v>
      </c>
      <c r="C15" s="10" t="s">
        <v>55</v>
      </c>
      <c r="D15" s="17" t="s">
        <v>56</v>
      </c>
      <c r="E15" s="10" t="s">
        <v>15</v>
      </c>
      <c r="F15" s="10" t="s">
        <v>16</v>
      </c>
      <c r="G15" s="10" t="s">
        <v>17</v>
      </c>
      <c r="H15" s="10" t="s">
        <v>18</v>
      </c>
      <c r="I15" s="10"/>
      <c r="J15" s="10"/>
      <c r="K15" s="10" t="s">
        <v>727</v>
      </c>
      <c r="L15" s="10" t="s">
        <v>771</v>
      </c>
      <c r="M15" s="41"/>
      <c r="N15" s="42" t="str">
        <f>_xlfn.XLOOKUP($C15,'IT Release 1 Analysis'!$C$2:$C$75,'IT Release 1 Analysis'!K$2:K$75," ")</f>
        <v>x</v>
      </c>
      <c r="O15" s="42"/>
      <c r="P15" s="42"/>
      <c r="Q15" s="42"/>
      <c r="R15" s="42"/>
      <c r="S15" s="42"/>
      <c r="T15" s="42"/>
      <c r="U15" s="42" t="str">
        <f>_xlfn.XLOOKUP($C15,'IT Release 1 Analysis'!$C$2:$C$75,'IT Release 1 Analysis'!R$2:R$75," ")</f>
        <v>x</v>
      </c>
      <c r="V15" s="42"/>
      <c r="W15" s="42" t="str">
        <f>_xlfn.XLOOKUP($C15,'IT Release 1 Analysis'!$C$2:$C$75,'IT Release 1 Analysis'!T$2:T$75," ")</f>
        <v>x</v>
      </c>
      <c r="X15" s="42"/>
      <c r="Y15" s="42"/>
      <c r="Z15" s="42"/>
    </row>
    <row r="16" spans="1:26" ht="57.75" thickBot="1" x14ac:dyDescent="0.3">
      <c r="A16" s="10" t="s">
        <v>41</v>
      </c>
      <c r="B16" s="10" t="s">
        <v>52</v>
      </c>
      <c r="C16" s="10" t="s">
        <v>57</v>
      </c>
      <c r="D16" s="17" t="s">
        <v>58</v>
      </c>
      <c r="E16" s="10" t="s">
        <v>15</v>
      </c>
      <c r="F16" s="10" t="s">
        <v>16</v>
      </c>
      <c r="G16" s="10" t="s">
        <v>17</v>
      </c>
      <c r="H16" s="10" t="s">
        <v>21</v>
      </c>
      <c r="I16" s="10"/>
      <c r="J16" s="10"/>
      <c r="K16" s="10" t="s">
        <v>724</v>
      </c>
      <c r="L16" s="10" t="s">
        <v>774</v>
      </c>
      <c r="M16" s="41"/>
      <c r="N16" s="42" t="str">
        <f>_xlfn.XLOOKUP($C16,'IT Release 1 Analysis'!$C$2:$C$75,'IT Release 1 Analysis'!K$2:K$75," ")</f>
        <v>x</v>
      </c>
      <c r="O16" s="42"/>
      <c r="P16" s="42"/>
      <c r="Q16" s="42"/>
      <c r="R16" s="42"/>
      <c r="S16" s="42"/>
      <c r="T16" s="42"/>
      <c r="U16" s="42" t="str">
        <f>_xlfn.XLOOKUP($C16,'IT Release 1 Analysis'!$C$2:$C$75,'IT Release 1 Analysis'!R$2:R$75," ")</f>
        <v>x</v>
      </c>
      <c r="V16" s="42"/>
      <c r="W16" s="42" t="str">
        <f>_xlfn.XLOOKUP($C16,'IT Release 1 Analysis'!$C$2:$C$75,'IT Release 1 Analysis'!T$2:T$75," ")</f>
        <v>x</v>
      </c>
      <c r="X16" s="42"/>
      <c r="Y16" s="42"/>
      <c r="Z16" s="42"/>
    </row>
    <row r="17" spans="1:26" ht="72" thickBot="1" x14ac:dyDescent="0.3">
      <c r="A17" s="10" t="s">
        <v>41</v>
      </c>
      <c r="B17" s="10" t="s">
        <v>48</v>
      </c>
      <c r="C17" s="10" t="s">
        <v>59</v>
      </c>
      <c r="D17" s="17" t="s">
        <v>60</v>
      </c>
      <c r="E17" s="10" t="s">
        <v>51</v>
      </c>
      <c r="F17" s="10" t="s">
        <v>16</v>
      </c>
      <c r="G17" s="10" t="s">
        <v>17</v>
      </c>
      <c r="H17" s="10" t="s">
        <v>21</v>
      </c>
      <c r="I17" s="10"/>
      <c r="J17" s="10"/>
      <c r="K17" s="10" t="s">
        <v>726</v>
      </c>
      <c r="L17" s="10" t="s">
        <v>774</v>
      </c>
      <c r="M17" s="41"/>
      <c r="N17" s="42" t="str">
        <f>_xlfn.XLOOKUP($C17,'IT Release 1 Analysis'!$C$2:$C$75,'IT Release 1 Analysis'!K$2:K$75," ")</f>
        <v>x</v>
      </c>
      <c r="O17" s="42"/>
      <c r="P17" s="42" t="str">
        <f>_xlfn.XLOOKUP($C17,'IT Release 1 Analysis'!$C$2:$C$75,'IT Release 1 Analysis'!M$2:M$75," ")</f>
        <v>x</v>
      </c>
      <c r="Q17" s="42"/>
      <c r="R17" s="42"/>
      <c r="S17" s="42"/>
      <c r="T17" s="42"/>
      <c r="U17" s="42" t="str">
        <f>_xlfn.XLOOKUP($C17,'IT Release 1 Analysis'!$C$2:$C$75,'IT Release 1 Analysis'!R$2:R$75," ")</f>
        <v>x</v>
      </c>
      <c r="V17" s="42"/>
      <c r="W17" s="42"/>
      <c r="X17" s="42"/>
      <c r="Y17" s="42"/>
      <c r="Z17" s="42"/>
    </row>
    <row r="18" spans="1:26" ht="57.75" thickBot="1" x14ac:dyDescent="0.3">
      <c r="A18" s="10" t="s">
        <v>41</v>
      </c>
      <c r="B18" s="10" t="s">
        <v>61</v>
      </c>
      <c r="C18" s="10" t="s">
        <v>62</v>
      </c>
      <c r="D18" s="10" t="s">
        <v>63</v>
      </c>
      <c r="E18" s="10" t="s">
        <v>15</v>
      </c>
      <c r="F18" s="10" t="s">
        <v>16</v>
      </c>
      <c r="G18" s="10" t="s">
        <v>17</v>
      </c>
      <c r="H18" s="10" t="s">
        <v>18</v>
      </c>
      <c r="I18" s="10"/>
      <c r="J18" s="10"/>
      <c r="K18" s="10" t="s">
        <v>728</v>
      </c>
      <c r="L18" s="10" t="s">
        <v>774</v>
      </c>
      <c r="M18" s="41"/>
      <c r="N18" s="42" t="str">
        <f>_xlfn.XLOOKUP($C18,'IT Release 1 Analysis'!$C$2:$C$75,'IT Release 1 Analysis'!K$2:K$75," ")</f>
        <v>x</v>
      </c>
      <c r="O18" s="42"/>
      <c r="P18" s="42"/>
      <c r="Q18" s="42"/>
      <c r="R18" s="42"/>
      <c r="S18" s="42"/>
      <c r="T18" s="42"/>
      <c r="U18" s="42" t="str">
        <f>_xlfn.XLOOKUP($C18,'IT Release 1 Analysis'!$C$2:$C$75,'IT Release 1 Analysis'!R$2:R$75," ")</f>
        <v>x</v>
      </c>
      <c r="V18" s="42"/>
      <c r="W18" s="42" t="str">
        <f>_xlfn.XLOOKUP($C18,'IT Release 1 Analysis'!$C$2:$C$75,'IT Release 1 Analysis'!T$2:T$75," ")</f>
        <v>x</v>
      </c>
      <c r="X18" s="42"/>
      <c r="Y18" s="42"/>
      <c r="Z18" s="42"/>
    </row>
    <row r="19" spans="1:26" ht="57.75" thickBot="1" x14ac:dyDescent="0.3">
      <c r="A19" s="10" t="s">
        <v>41</v>
      </c>
      <c r="B19" s="10" t="s">
        <v>61</v>
      </c>
      <c r="C19" s="10" t="s">
        <v>64</v>
      </c>
      <c r="D19" s="10" t="s">
        <v>65</v>
      </c>
      <c r="E19" s="10" t="s">
        <v>15</v>
      </c>
      <c r="F19" s="10" t="s">
        <v>16</v>
      </c>
      <c r="G19" s="10" t="s">
        <v>17</v>
      </c>
      <c r="H19" s="10" t="s">
        <v>18</v>
      </c>
      <c r="I19" s="10"/>
      <c r="J19" s="10"/>
      <c r="K19" s="10" t="s">
        <v>725</v>
      </c>
      <c r="L19" s="10" t="s">
        <v>774</v>
      </c>
      <c r="M19" s="41"/>
      <c r="N19" s="42" t="str">
        <f>_xlfn.XLOOKUP($C19,'IT Release 1 Analysis'!$C$2:$C$75,'IT Release 1 Analysis'!K$2:K$75," ")</f>
        <v>x</v>
      </c>
      <c r="O19" s="42"/>
      <c r="P19" s="42"/>
      <c r="Q19" s="42"/>
      <c r="R19" s="42"/>
      <c r="S19" s="42"/>
      <c r="T19" s="42"/>
      <c r="U19" s="42" t="str">
        <f>_xlfn.XLOOKUP($C19,'IT Release 1 Analysis'!$C$2:$C$75,'IT Release 1 Analysis'!R$2:R$75," ")</f>
        <v>x</v>
      </c>
      <c r="V19" s="42"/>
      <c r="W19" s="42"/>
      <c r="X19" s="42"/>
      <c r="Y19" s="42" t="str">
        <f>_xlfn.XLOOKUP($C19,'IT Release 1 Analysis'!$C$2:$C$75,'IT Release 1 Analysis'!V$2:V$75," ")</f>
        <v>x</v>
      </c>
      <c r="Z19" s="42"/>
    </row>
    <row r="20" spans="1:26" ht="72" thickBot="1" x14ac:dyDescent="0.3">
      <c r="A20" s="10" t="s">
        <v>41</v>
      </c>
      <c r="B20" s="10" t="s">
        <v>30</v>
      </c>
      <c r="C20" s="10" t="s">
        <v>66</v>
      </c>
      <c r="D20" s="17" t="s">
        <v>67</v>
      </c>
      <c r="E20" s="10" t="s">
        <v>15</v>
      </c>
      <c r="F20" s="10" t="s">
        <v>16</v>
      </c>
      <c r="G20" s="10" t="s">
        <v>17</v>
      </c>
      <c r="H20" s="10" t="s">
        <v>21</v>
      </c>
      <c r="I20" s="10"/>
      <c r="J20" s="10"/>
      <c r="K20" s="10" t="s">
        <v>17</v>
      </c>
      <c r="L20" s="10" t="s">
        <v>773</v>
      </c>
      <c r="M20" s="41"/>
      <c r="N20" s="42" t="str">
        <f>_xlfn.XLOOKUP($C20,'IT Release 1 Analysis'!$C$2:$C$75,'IT Release 1 Analysis'!K$2:K$75," ")</f>
        <v>x</v>
      </c>
      <c r="O20" s="42"/>
      <c r="P20" s="42"/>
      <c r="Q20" s="42"/>
      <c r="R20" s="42"/>
      <c r="S20" s="42"/>
      <c r="T20" s="42"/>
      <c r="U20" s="42" t="str">
        <f>_xlfn.XLOOKUP($C20,'IT Release 1 Analysis'!$C$2:$C$75,'IT Release 1 Analysis'!R$2:R$75," ")</f>
        <v>x</v>
      </c>
      <c r="V20" s="42"/>
      <c r="W20" s="42" t="str">
        <f>_xlfn.XLOOKUP($C20,'IT Release 1 Analysis'!$C$2:$C$75,'IT Release 1 Analysis'!T$2:T$75," ")</f>
        <v>x</v>
      </c>
      <c r="X20" s="42" t="str">
        <f>_xlfn.XLOOKUP($C20,'IT Release 1 Analysis'!$C$2:$C$75,'IT Release 1 Analysis'!U$2:U$75," ")</f>
        <v>x</v>
      </c>
      <c r="Y20" s="42"/>
      <c r="Z20" s="42"/>
    </row>
    <row r="21" spans="1:26" ht="100.5" thickBot="1" x14ac:dyDescent="0.3">
      <c r="A21" s="10" t="s">
        <v>68</v>
      </c>
      <c r="B21" s="10" t="s">
        <v>52</v>
      </c>
      <c r="C21" s="10" t="s">
        <v>69</v>
      </c>
      <c r="D21" s="17" t="s">
        <v>70</v>
      </c>
      <c r="E21" s="10" t="s">
        <v>24</v>
      </c>
      <c r="F21" s="10" t="s">
        <v>71</v>
      </c>
      <c r="G21" s="10" t="s">
        <v>72</v>
      </c>
      <c r="H21" s="10" t="s">
        <v>18</v>
      </c>
      <c r="I21" s="10"/>
      <c r="J21" s="10"/>
      <c r="K21" s="10" t="s">
        <v>729</v>
      </c>
      <c r="L21" s="10" t="s">
        <v>771</v>
      </c>
      <c r="M21" s="41"/>
      <c r="N21" s="42" t="str">
        <f>_xlfn.XLOOKUP($C21,'IT Release 1 Analysis'!$C$2:$C$75,'IT Release 1 Analysis'!K$2:K$75," ")</f>
        <v>x</v>
      </c>
      <c r="O21" s="42"/>
      <c r="P21" s="42"/>
      <c r="Q21" s="42"/>
      <c r="R21" s="42"/>
      <c r="S21" s="42"/>
      <c r="T21" s="42"/>
      <c r="U21" s="42" t="str">
        <f>_xlfn.XLOOKUP($C21,'IT Release 1 Analysis'!$C$2:$C$75,'IT Release 1 Analysis'!R$2:R$75," ")</f>
        <v>x</v>
      </c>
      <c r="V21" s="42"/>
      <c r="W21" s="42" t="str">
        <f>_xlfn.XLOOKUP($C21,'IT Release 1 Analysis'!$C$2:$C$75,'IT Release 1 Analysis'!T$2:T$75," ")</f>
        <v>x</v>
      </c>
      <c r="X21" s="42"/>
      <c r="Y21" s="42" t="str">
        <f>_xlfn.XLOOKUP($C21,'IT Release 1 Analysis'!$C$2:$C$75,'IT Release 1 Analysis'!V$2:V$75," ")</f>
        <v>x</v>
      </c>
      <c r="Z21" s="42"/>
    </row>
    <row r="22" spans="1:26" ht="100.5" thickBot="1" x14ac:dyDescent="0.3">
      <c r="A22" s="10" t="s">
        <v>68</v>
      </c>
      <c r="B22" s="10" t="s">
        <v>52</v>
      </c>
      <c r="C22" s="10" t="s">
        <v>73</v>
      </c>
      <c r="D22" s="17" t="s">
        <v>74</v>
      </c>
      <c r="E22" s="10" t="s">
        <v>24</v>
      </c>
      <c r="F22" s="10" t="s">
        <v>71</v>
      </c>
      <c r="G22" s="10" t="s">
        <v>72</v>
      </c>
      <c r="H22" s="10" t="s">
        <v>18</v>
      </c>
      <c r="I22" s="10"/>
      <c r="J22" s="10"/>
      <c r="K22" s="10" t="s">
        <v>17</v>
      </c>
      <c r="L22" s="10" t="s">
        <v>771</v>
      </c>
      <c r="M22" s="41"/>
      <c r="N22" s="42" t="str">
        <f>_xlfn.XLOOKUP($C22,'IT Release 1 Analysis'!$C$2:$C$75,'IT Release 1 Analysis'!K$2:K$75," ")</f>
        <v>x</v>
      </c>
      <c r="O22" s="42" t="str">
        <f>_xlfn.XLOOKUP($C22,'IT Release 1 Analysis'!$C$2:$C$75,'IT Release 1 Analysis'!L$2:L$75," ")</f>
        <v>x</v>
      </c>
      <c r="P22" s="42"/>
      <c r="Q22" s="42"/>
      <c r="R22" s="42"/>
      <c r="S22" s="42"/>
      <c r="T22" s="42"/>
      <c r="U22" s="42" t="str">
        <f>_xlfn.XLOOKUP($C22,'IT Release 1 Analysis'!$C$2:$C$75,'IT Release 1 Analysis'!R$2:R$75," ")</f>
        <v>x</v>
      </c>
      <c r="V22" s="42"/>
      <c r="W22" s="42"/>
      <c r="X22" s="42"/>
      <c r="Y22" s="42"/>
      <c r="Z22" s="42"/>
    </row>
    <row r="23" spans="1:26" ht="72" thickBot="1" x14ac:dyDescent="0.3">
      <c r="A23" s="10" t="s">
        <v>68</v>
      </c>
      <c r="B23" s="10" t="s">
        <v>75</v>
      </c>
      <c r="C23" s="10" t="s">
        <v>76</v>
      </c>
      <c r="D23" s="17" t="s">
        <v>77</v>
      </c>
      <c r="E23" s="10" t="s">
        <v>15</v>
      </c>
      <c r="F23" s="10" t="s">
        <v>16</v>
      </c>
      <c r="G23" s="10" t="s">
        <v>17</v>
      </c>
      <c r="H23" s="10" t="s">
        <v>18</v>
      </c>
      <c r="I23" s="10"/>
      <c r="J23" s="10"/>
      <c r="K23" s="10" t="s">
        <v>727</v>
      </c>
      <c r="L23" s="10" t="s">
        <v>771</v>
      </c>
      <c r="M23" s="41"/>
      <c r="N23" s="42" t="str">
        <f>_xlfn.XLOOKUP($C23,'IT Release 1 Analysis'!$C$2:$C$75,'IT Release 1 Analysis'!K$2:K$75," ")</f>
        <v>x</v>
      </c>
      <c r="O23" s="42"/>
      <c r="P23" s="42"/>
      <c r="Q23" s="42"/>
      <c r="R23" s="42"/>
      <c r="S23" s="42"/>
      <c r="T23" s="42"/>
      <c r="U23" s="42" t="str">
        <f>_xlfn.XLOOKUP($C23,'IT Release 1 Analysis'!$C$2:$C$75,'IT Release 1 Analysis'!R$2:R$75," ")</f>
        <v>x</v>
      </c>
      <c r="V23" s="42"/>
      <c r="W23" s="42" t="str">
        <f>_xlfn.XLOOKUP($C23,'IT Release 1 Analysis'!$C$2:$C$75,'IT Release 1 Analysis'!T$2:T$75," ")</f>
        <v>x</v>
      </c>
      <c r="X23" s="42"/>
      <c r="Y23" s="42" t="str">
        <f>_xlfn.XLOOKUP($C23,'IT Release 1 Analysis'!$C$2:$C$75,'IT Release 1 Analysis'!V$2:V$75," ")</f>
        <v>x</v>
      </c>
      <c r="Z23" s="42"/>
    </row>
    <row r="24" spans="1:26" ht="29.25" thickBot="1" x14ac:dyDescent="0.3">
      <c r="A24" s="10" t="s">
        <v>68</v>
      </c>
      <c r="B24" s="10" t="s">
        <v>75</v>
      </c>
      <c r="C24" s="10" t="s">
        <v>78</v>
      </c>
      <c r="D24" s="10" t="s">
        <v>79</v>
      </c>
      <c r="E24" s="10" t="s">
        <v>15</v>
      </c>
      <c r="F24" s="10" t="s">
        <v>16</v>
      </c>
      <c r="G24" s="10" t="s">
        <v>17</v>
      </c>
      <c r="H24" s="10" t="s">
        <v>18</v>
      </c>
      <c r="I24" s="10"/>
      <c r="J24" s="10"/>
      <c r="K24" s="10" t="s">
        <v>727</v>
      </c>
      <c r="L24" s="10" t="s">
        <v>771</v>
      </c>
      <c r="M24" s="41"/>
      <c r="N24" s="42" t="str">
        <f>_xlfn.XLOOKUP($C24,'IT Release 1 Analysis'!$C$2:$C$75,'IT Release 1 Analysis'!K$2:K$75," ")</f>
        <v>x</v>
      </c>
      <c r="O24" s="42"/>
      <c r="P24" s="42"/>
      <c r="Q24" s="42"/>
      <c r="R24" s="42"/>
      <c r="S24" s="42"/>
      <c r="T24" s="42"/>
      <c r="U24" s="42"/>
      <c r="V24" s="42"/>
      <c r="W24" s="42" t="str">
        <f>_xlfn.XLOOKUP($C24,'IT Release 1 Analysis'!$C$2:$C$75,'IT Release 1 Analysis'!T$2:T$75," ")</f>
        <v>x</v>
      </c>
      <c r="X24" s="42"/>
      <c r="Y24" s="42"/>
      <c r="Z24" s="42"/>
    </row>
    <row r="25" spans="1:26" ht="57.75" thickBot="1" x14ac:dyDescent="0.3">
      <c r="A25" s="10" t="s">
        <v>68</v>
      </c>
      <c r="B25" s="10" t="s">
        <v>75</v>
      </c>
      <c r="C25" s="10" t="s">
        <v>86</v>
      </c>
      <c r="D25" s="17" t="s">
        <v>87</v>
      </c>
      <c r="E25" s="10" t="s">
        <v>15</v>
      </c>
      <c r="F25" s="10" t="s">
        <v>16</v>
      </c>
      <c r="G25" s="10" t="s">
        <v>17</v>
      </c>
      <c r="H25" s="10" t="s">
        <v>18</v>
      </c>
      <c r="I25" s="10"/>
      <c r="J25" s="10"/>
      <c r="K25" s="10" t="s">
        <v>730</v>
      </c>
      <c r="L25" s="10" t="s">
        <v>771</v>
      </c>
      <c r="M25" s="41"/>
      <c r="N25" s="42" t="str">
        <f>_xlfn.XLOOKUP($C25,'IT Release 1 Analysis'!$C$2:$C$75,'IT Release 1 Analysis'!K$2:K$75," ")</f>
        <v>x</v>
      </c>
      <c r="O25" s="42"/>
      <c r="P25" s="42"/>
      <c r="Q25" s="42"/>
      <c r="R25" s="42"/>
      <c r="S25" s="42"/>
      <c r="T25" s="42"/>
      <c r="U25" s="42" t="str">
        <f>_xlfn.XLOOKUP($C25,'IT Release 1 Analysis'!$C$2:$C$75,'IT Release 1 Analysis'!R$2:R$75," ")</f>
        <v>x</v>
      </c>
      <c r="V25" s="42"/>
      <c r="W25" s="42" t="str">
        <f>_xlfn.XLOOKUP($C25,'IT Release 1 Analysis'!$C$2:$C$75,'IT Release 1 Analysis'!T$2:T$75," ")</f>
        <v>x</v>
      </c>
      <c r="X25" s="42"/>
      <c r="Y25" s="42"/>
      <c r="Z25" s="42"/>
    </row>
    <row r="26" spans="1:26" ht="43.5" thickBot="1" x14ac:dyDescent="0.3">
      <c r="A26" s="10" t="s">
        <v>68</v>
      </c>
      <c r="B26" s="10" t="s">
        <v>75</v>
      </c>
      <c r="C26" s="10" t="s">
        <v>83</v>
      </c>
      <c r="D26" s="10" t="s">
        <v>84</v>
      </c>
      <c r="E26" s="10" t="s">
        <v>85</v>
      </c>
      <c r="F26" s="10" t="s">
        <v>71</v>
      </c>
      <c r="G26" s="10" t="s">
        <v>17</v>
      </c>
      <c r="H26" s="10" t="s">
        <v>18</v>
      </c>
      <c r="I26" s="10"/>
      <c r="J26" s="10"/>
      <c r="K26" s="10" t="s">
        <v>17</v>
      </c>
      <c r="L26" s="10" t="s">
        <v>776</v>
      </c>
      <c r="M26" s="41"/>
      <c r="N26" s="42"/>
      <c r="O26" s="42"/>
      <c r="P26" s="42"/>
      <c r="Q26" s="42"/>
      <c r="R26" s="42"/>
      <c r="S26" s="42"/>
      <c r="T26" s="42"/>
      <c r="U26" s="42"/>
      <c r="V26" s="42"/>
      <c r="W26" s="42" t="str">
        <f>_xlfn.XLOOKUP($C26,'IT Release 1 Analysis'!$C$2:$C$75,'IT Release 1 Analysis'!T$2:T$75," ")</f>
        <v>x</v>
      </c>
      <c r="X26" s="42"/>
      <c r="Y26" s="42" t="str">
        <f>_xlfn.XLOOKUP($C26,'IT Release 1 Analysis'!$C$2:$C$75,'IT Release 1 Analysis'!V$2:V$75," ")</f>
        <v>x</v>
      </c>
      <c r="Z26" s="42" t="str">
        <f>_xlfn.XLOOKUP($C26,'IT Release 1 Analysis'!$C$2:$C$75,'IT Release 1 Analysis'!W$2:W$75," ")</f>
        <v>x</v>
      </c>
    </row>
    <row r="27" spans="1:26" ht="72" thickBot="1" x14ac:dyDescent="0.3">
      <c r="A27" s="10" t="s">
        <v>68</v>
      </c>
      <c r="B27" s="10" t="s">
        <v>88</v>
      </c>
      <c r="C27" s="10" t="s">
        <v>89</v>
      </c>
      <c r="D27" s="17" t="s">
        <v>719</v>
      </c>
      <c r="E27" s="10" t="s">
        <v>15</v>
      </c>
      <c r="F27" s="10" t="s">
        <v>16</v>
      </c>
      <c r="G27" s="10" t="s">
        <v>17</v>
      </c>
      <c r="H27" s="10" t="s">
        <v>18</v>
      </c>
      <c r="I27" s="10"/>
      <c r="J27" s="10"/>
      <c r="K27" s="10" t="s">
        <v>731</v>
      </c>
      <c r="L27" s="10" t="s">
        <v>776</v>
      </c>
      <c r="M27" s="41"/>
      <c r="N27" s="42"/>
      <c r="O27" s="42"/>
      <c r="P27" s="42"/>
      <c r="Q27" s="42"/>
      <c r="R27" s="42"/>
      <c r="S27" s="42"/>
      <c r="T27" s="42"/>
      <c r="U27" s="42"/>
      <c r="V27" s="42"/>
      <c r="W27" s="42" t="str">
        <f>_xlfn.XLOOKUP($C27,'IT Release 1 Analysis'!$C$2:$C$75,'IT Release 1 Analysis'!T$2:T$75," ")</f>
        <v>x</v>
      </c>
      <c r="X27" s="42"/>
      <c r="Y27" s="42"/>
      <c r="Z27" s="42" t="str">
        <f>_xlfn.XLOOKUP($C27,'IT Release 1 Analysis'!$C$2:$C$75,'IT Release 1 Analysis'!W$2:W$75," ")</f>
        <v>x</v>
      </c>
    </row>
    <row r="28" spans="1:26" ht="72" thickBot="1" x14ac:dyDescent="0.3">
      <c r="A28" s="10" t="s">
        <v>68</v>
      </c>
      <c r="B28" s="10" t="s">
        <v>88</v>
      </c>
      <c r="C28" s="10" t="s">
        <v>90</v>
      </c>
      <c r="D28" s="17" t="s">
        <v>720</v>
      </c>
      <c r="E28" s="10" t="s">
        <v>15</v>
      </c>
      <c r="F28" s="10" t="s">
        <v>16</v>
      </c>
      <c r="G28" s="10" t="s">
        <v>17</v>
      </c>
      <c r="H28" s="10" t="s">
        <v>18</v>
      </c>
      <c r="I28" s="10"/>
      <c r="J28" s="10"/>
      <c r="K28" s="10" t="s">
        <v>731</v>
      </c>
      <c r="L28" s="10" t="s">
        <v>776</v>
      </c>
      <c r="M28" s="41"/>
      <c r="N28" s="42"/>
      <c r="O28" s="42"/>
      <c r="P28" s="42"/>
      <c r="Q28" s="42"/>
      <c r="R28" s="42"/>
      <c r="S28" s="42"/>
      <c r="T28" s="42"/>
      <c r="U28" s="42"/>
      <c r="V28" s="42"/>
      <c r="W28" s="42" t="str">
        <f>_xlfn.XLOOKUP($C28,'IT Release 1 Analysis'!$C$2:$C$75,'IT Release 1 Analysis'!T$2:T$75," ")</f>
        <v>x</v>
      </c>
      <c r="X28" s="42"/>
      <c r="Y28" s="42"/>
      <c r="Z28" s="42" t="str">
        <f>_xlfn.XLOOKUP($C28,'IT Release 1 Analysis'!$C$2:$C$75,'IT Release 1 Analysis'!W$2:W$75," ")</f>
        <v>x</v>
      </c>
    </row>
    <row r="29" spans="1:26" ht="72" thickBot="1" x14ac:dyDescent="0.3">
      <c r="A29" s="10" t="s">
        <v>68</v>
      </c>
      <c r="B29" s="10" t="s">
        <v>88</v>
      </c>
      <c r="C29" s="10" t="s">
        <v>91</v>
      </c>
      <c r="D29" s="17" t="s">
        <v>721</v>
      </c>
      <c r="E29" s="10" t="s">
        <v>15</v>
      </c>
      <c r="F29" s="10" t="s">
        <v>16</v>
      </c>
      <c r="G29" s="10" t="s">
        <v>17</v>
      </c>
      <c r="H29" s="10" t="s">
        <v>18</v>
      </c>
      <c r="I29" s="10"/>
      <c r="J29" s="10"/>
      <c r="K29" s="10" t="s">
        <v>731</v>
      </c>
      <c r="L29" s="10" t="s">
        <v>776</v>
      </c>
      <c r="M29" s="41"/>
      <c r="N29" s="42"/>
      <c r="O29" s="42"/>
      <c r="P29" s="42"/>
      <c r="Q29" s="42"/>
      <c r="R29" s="42"/>
      <c r="S29" s="42"/>
      <c r="T29" s="42"/>
      <c r="U29" s="42"/>
      <c r="V29" s="42"/>
      <c r="W29" s="42" t="str">
        <f>_xlfn.XLOOKUP($C29,'IT Release 1 Analysis'!$C$2:$C$75,'IT Release 1 Analysis'!T$2:T$75," ")</f>
        <v>x</v>
      </c>
      <c r="X29" s="42"/>
      <c r="Y29" s="42"/>
      <c r="Z29" s="42" t="str">
        <f>_xlfn.XLOOKUP($C29,'IT Release 1 Analysis'!$C$2:$C$75,'IT Release 1 Analysis'!W$2:W$75," ")</f>
        <v>x</v>
      </c>
    </row>
    <row r="30" spans="1:26" ht="72" thickBot="1" x14ac:dyDescent="0.3">
      <c r="A30" s="10" t="s">
        <v>68</v>
      </c>
      <c r="B30" s="10" t="s">
        <v>88</v>
      </c>
      <c r="C30" s="10" t="s">
        <v>92</v>
      </c>
      <c r="D30" s="17" t="s">
        <v>722</v>
      </c>
      <c r="E30" s="10" t="s">
        <v>15</v>
      </c>
      <c r="F30" s="10" t="s">
        <v>16</v>
      </c>
      <c r="G30" s="10" t="s">
        <v>17</v>
      </c>
      <c r="H30" s="10" t="s">
        <v>18</v>
      </c>
      <c r="I30" s="10"/>
      <c r="J30" s="10"/>
      <c r="K30" s="10" t="s">
        <v>731</v>
      </c>
      <c r="L30" s="10" t="s">
        <v>776</v>
      </c>
      <c r="M30" s="41"/>
      <c r="N30" s="42"/>
      <c r="O30" s="42"/>
      <c r="P30" s="42"/>
      <c r="Q30" s="42"/>
      <c r="R30" s="42"/>
      <c r="S30" s="42"/>
      <c r="T30" s="42"/>
      <c r="U30" s="42"/>
      <c r="V30" s="42"/>
      <c r="W30" s="42" t="str">
        <f>_xlfn.XLOOKUP($C30,'IT Release 1 Analysis'!$C$2:$C$75,'IT Release 1 Analysis'!T$2:T$75," ")</f>
        <v>x</v>
      </c>
      <c r="X30" s="42"/>
      <c r="Y30" s="42"/>
      <c r="Z30" s="42" t="str">
        <f>_xlfn.XLOOKUP($C30,'IT Release 1 Analysis'!$C$2:$C$75,'IT Release 1 Analysis'!W$2:W$75," ")</f>
        <v>x</v>
      </c>
    </row>
    <row r="31" spans="1:26" ht="54" customHeight="1" thickBot="1" x14ac:dyDescent="0.3">
      <c r="A31" s="10" t="s">
        <v>68</v>
      </c>
      <c r="B31" s="10" t="s">
        <v>93</v>
      </c>
      <c r="C31" s="10" t="s">
        <v>80</v>
      </c>
      <c r="D31" s="10" t="s">
        <v>81</v>
      </c>
      <c r="E31" s="10" t="s">
        <v>82</v>
      </c>
      <c r="F31" s="10" t="s">
        <v>16</v>
      </c>
      <c r="G31" s="10" t="s">
        <v>17</v>
      </c>
      <c r="H31" s="10" t="s">
        <v>18</v>
      </c>
      <c r="I31" s="10"/>
      <c r="J31" s="10"/>
      <c r="K31" s="10" t="s">
        <v>731</v>
      </c>
      <c r="L31" s="10" t="s">
        <v>774</v>
      </c>
      <c r="M31" s="41"/>
      <c r="N31" s="42"/>
      <c r="O31" s="42"/>
      <c r="P31" s="42"/>
      <c r="Q31" s="42"/>
      <c r="R31" s="42" t="str">
        <f>_xlfn.XLOOKUP($C31,'IT Release 1 Analysis'!$C$2:$C$75,'IT Release 1 Analysis'!O$2:O$75," ")</f>
        <v>x</v>
      </c>
      <c r="S31" s="42" t="str">
        <f>_xlfn.XLOOKUP($C31,'IT Release 1 Analysis'!$C$2:$C$75,'IT Release 1 Analysis'!P$2:P$75," ")</f>
        <v>x</v>
      </c>
      <c r="T31" s="42"/>
      <c r="U31" s="42"/>
      <c r="V31" s="42"/>
      <c r="W31" s="42" t="str">
        <f>_xlfn.XLOOKUP($C31,'IT Release 1 Analysis'!$C$2:$C$75,'IT Release 1 Analysis'!T$2:T$75," ")</f>
        <v>x</v>
      </c>
      <c r="X31" s="42"/>
      <c r="Y31" s="42" t="str">
        <f>_xlfn.XLOOKUP($C31,'IT Release 1 Analysis'!$C$2:$C$75,'IT Release 1 Analysis'!V$2:V$75," ")</f>
        <v>x</v>
      </c>
      <c r="Z31" s="42"/>
    </row>
    <row r="32" spans="1:26" ht="69" customHeight="1" thickBot="1" x14ac:dyDescent="0.3">
      <c r="A32" s="10" t="s">
        <v>68</v>
      </c>
      <c r="B32" s="10" t="s">
        <v>93</v>
      </c>
      <c r="C32" s="10" t="s">
        <v>715</v>
      </c>
      <c r="D32" s="17" t="s">
        <v>716</v>
      </c>
      <c r="E32" s="10" t="s">
        <v>24</v>
      </c>
      <c r="F32" s="10" t="s">
        <v>16</v>
      </c>
      <c r="G32" s="10" t="s">
        <v>17</v>
      </c>
      <c r="H32" s="10" t="s">
        <v>18</v>
      </c>
      <c r="I32" s="10"/>
      <c r="J32" s="10"/>
      <c r="K32" s="10" t="s">
        <v>732</v>
      </c>
      <c r="L32" s="10" t="s">
        <v>771</v>
      </c>
      <c r="M32" s="41"/>
      <c r="N32" s="42" t="str">
        <f>_xlfn.XLOOKUP($C32,'IT Release 1 Analysis'!$C$2:$C$75,'IT Release 1 Analysis'!K$2:K$75," ")</f>
        <v>x</v>
      </c>
      <c r="O32" s="42"/>
      <c r="P32" s="42"/>
      <c r="Q32" s="42"/>
      <c r="R32" s="42" t="str">
        <f>_xlfn.XLOOKUP($C32,'IT Release 1 Analysis'!$C$2:$C$75,'IT Release 1 Analysis'!O$2:O$75," ")</f>
        <v>x</v>
      </c>
      <c r="S32" s="42" t="str">
        <f>_xlfn.XLOOKUP($C32,'IT Release 1 Analysis'!$C$2:$C$75,'IT Release 1 Analysis'!P$2:P$75," ")</f>
        <v>x</v>
      </c>
      <c r="T32" s="42"/>
      <c r="U32" s="42" t="str">
        <f>_xlfn.XLOOKUP($C32,'IT Release 1 Analysis'!$C$2:$C$75,'IT Release 1 Analysis'!R$2:R$75," ")</f>
        <v>x</v>
      </c>
      <c r="V32" s="42"/>
      <c r="W32" s="42" t="str">
        <f>_xlfn.XLOOKUP($C32,'IT Release 1 Analysis'!$C$2:$C$75,'IT Release 1 Analysis'!T$2:T$75," ")</f>
        <v>x</v>
      </c>
      <c r="X32" s="42"/>
      <c r="Y32" s="42"/>
      <c r="Z32" s="42"/>
    </row>
    <row r="33" spans="1:26" ht="43.5" thickBot="1" x14ac:dyDescent="0.3">
      <c r="A33" s="10" t="s">
        <v>68</v>
      </c>
      <c r="B33" s="10" t="s">
        <v>93</v>
      </c>
      <c r="C33" s="10" t="s">
        <v>717</v>
      </c>
      <c r="D33" s="17" t="s">
        <v>718</v>
      </c>
      <c r="E33" s="10" t="s">
        <v>24</v>
      </c>
      <c r="F33" s="10" t="s">
        <v>16</v>
      </c>
      <c r="G33" s="10" t="s">
        <v>17</v>
      </c>
      <c r="H33" s="10" t="s">
        <v>18</v>
      </c>
      <c r="I33" s="10"/>
      <c r="J33" s="10"/>
      <c r="K33" s="10" t="s">
        <v>733</v>
      </c>
      <c r="L33" s="10" t="s">
        <v>774</v>
      </c>
      <c r="M33" s="41"/>
      <c r="N33" s="42" t="str">
        <f>_xlfn.XLOOKUP($C33,'IT Release 1 Analysis'!$C$2:$C$75,'IT Release 1 Analysis'!K$2:K$75," ")</f>
        <v>x</v>
      </c>
      <c r="O33" s="42"/>
      <c r="P33" s="42"/>
      <c r="Q33" s="42"/>
      <c r="R33" s="42" t="str">
        <f>_xlfn.XLOOKUP($C33,'IT Release 1 Analysis'!$C$2:$C$75,'IT Release 1 Analysis'!O$2:O$75," ")</f>
        <v>x</v>
      </c>
      <c r="S33" s="42" t="str">
        <f>_xlfn.XLOOKUP($C33,'IT Release 1 Analysis'!$C$2:$C$75,'IT Release 1 Analysis'!P$2:P$75," ")</f>
        <v>x</v>
      </c>
      <c r="T33" s="42"/>
      <c r="U33" s="42"/>
      <c r="V33" s="42"/>
      <c r="W33" s="42" t="str">
        <f>_xlfn.XLOOKUP($C33,'IT Release 1 Analysis'!$C$2:$C$75,'IT Release 1 Analysis'!T$2:T$75," ")</f>
        <v>x</v>
      </c>
      <c r="X33" s="42"/>
      <c r="Y33" s="42" t="str">
        <f>_xlfn.XLOOKUP($C33,'IT Release 1 Analysis'!$C$2:$C$75,'IT Release 1 Analysis'!V$2:V$75," ")</f>
        <v>x</v>
      </c>
      <c r="Z33" s="42"/>
    </row>
    <row r="34" spans="1:26" ht="57.75" thickBot="1" x14ac:dyDescent="0.3">
      <c r="A34" s="10" t="s">
        <v>68</v>
      </c>
      <c r="B34" s="10" t="s">
        <v>93</v>
      </c>
      <c r="C34" s="10" t="s">
        <v>95</v>
      </c>
      <c r="D34" s="17" t="s">
        <v>96</v>
      </c>
      <c r="E34" s="10" t="s">
        <v>15</v>
      </c>
      <c r="F34" s="10" t="s">
        <v>37</v>
      </c>
      <c r="G34" s="10" t="s">
        <v>17</v>
      </c>
      <c r="H34" s="10" t="s">
        <v>21</v>
      </c>
      <c r="I34" s="10"/>
      <c r="J34" s="10"/>
      <c r="K34" s="10" t="s">
        <v>17</v>
      </c>
      <c r="L34" s="10" t="s">
        <v>783</v>
      </c>
      <c r="M34" s="41"/>
      <c r="N34" s="42" t="str">
        <f>_xlfn.XLOOKUP($C34,'IT Release 1 Analysis'!$C$2:$C$75,'IT Release 1 Analysis'!K$2:K$75," ")</f>
        <v xml:space="preserve"> </v>
      </c>
      <c r="O34" s="42" t="str">
        <f>_xlfn.XLOOKUP($C34,'IT Release 1 Analysis'!$C$2:$C$75,'IT Release 1 Analysis'!L$2:L$75," ")</f>
        <v xml:space="preserve"> </v>
      </c>
      <c r="P34" s="42" t="str">
        <f>_xlfn.XLOOKUP($C34,'IT Release 1 Analysis'!$C$2:$C$75,'IT Release 1 Analysis'!M$2:M$75," ")</f>
        <v xml:space="preserve"> </v>
      </c>
      <c r="Q34" s="42" t="str">
        <f>_xlfn.XLOOKUP($C34,'IT Release 1 Analysis'!$C$2:$C$75,'IT Release 1 Analysis'!N$2:N$75," ")</f>
        <v xml:space="preserve"> </v>
      </c>
      <c r="R34" s="42" t="str">
        <f>_xlfn.XLOOKUP($C34,'IT Release 1 Analysis'!$C$2:$C$75,'IT Release 1 Analysis'!O$2:O$75," ")</f>
        <v xml:space="preserve"> </v>
      </c>
      <c r="S34" s="42" t="str">
        <f>_xlfn.XLOOKUP($C34,'IT Release 1 Analysis'!$C$2:$C$75,'IT Release 1 Analysis'!P$2:P$75," ")</f>
        <v xml:space="preserve"> </v>
      </c>
      <c r="T34" s="42" t="str">
        <f>_xlfn.XLOOKUP($C34,'IT Release 1 Analysis'!$C$2:$C$75,'IT Release 1 Analysis'!Q$2:Q$75," ")</f>
        <v xml:space="preserve"> </v>
      </c>
      <c r="U34" s="42" t="str">
        <f>_xlfn.XLOOKUP($C34,'IT Release 1 Analysis'!$C$2:$C$75,'IT Release 1 Analysis'!R$2:R$75," ")</f>
        <v xml:space="preserve"> </v>
      </c>
      <c r="V34" s="42" t="str">
        <f>_xlfn.XLOOKUP($C34,'IT Release 1 Analysis'!$C$2:$C$75,'IT Release 1 Analysis'!S$2:S$75," ")</f>
        <v xml:space="preserve"> </v>
      </c>
      <c r="W34" s="42" t="str">
        <f>_xlfn.XLOOKUP($C34,'IT Release 1 Analysis'!$C$2:$C$75,'IT Release 1 Analysis'!T$2:T$75," ")</f>
        <v xml:space="preserve"> </v>
      </c>
      <c r="X34" s="42" t="str">
        <f>_xlfn.XLOOKUP($C34,'IT Release 1 Analysis'!$C$2:$C$75,'IT Release 1 Analysis'!U$2:U$75," ")</f>
        <v xml:space="preserve"> </v>
      </c>
      <c r="Y34" s="42" t="str">
        <f>_xlfn.XLOOKUP($C34,'IT Release 1 Analysis'!$C$2:$C$75,'IT Release 1 Analysis'!V$2:V$75," ")</f>
        <v xml:space="preserve"> </v>
      </c>
      <c r="Z34" s="42" t="str">
        <f>_xlfn.XLOOKUP($C34,'IT Release 1 Analysis'!$C$2:$C$75,'IT Release 1 Analysis'!W$2:W$75," ")</f>
        <v xml:space="preserve"> </v>
      </c>
    </row>
    <row r="35" spans="1:26" ht="171.75" thickBot="1" x14ac:dyDescent="0.3">
      <c r="A35" s="10" t="s">
        <v>97</v>
      </c>
      <c r="B35" s="10" t="s">
        <v>98</v>
      </c>
      <c r="C35" s="10" t="s">
        <v>99</v>
      </c>
      <c r="D35" s="10" t="s">
        <v>100</v>
      </c>
      <c r="E35" s="10" t="s">
        <v>101</v>
      </c>
      <c r="F35" s="10" t="s">
        <v>71</v>
      </c>
      <c r="G35" s="10" t="s">
        <v>102</v>
      </c>
      <c r="H35" s="10" t="s">
        <v>18</v>
      </c>
      <c r="I35" s="10"/>
      <c r="J35" s="10"/>
      <c r="K35" s="10" t="s">
        <v>734</v>
      </c>
      <c r="L35" s="10" t="s">
        <v>774</v>
      </c>
      <c r="M35" s="41"/>
      <c r="N35" s="42" t="str">
        <f>_xlfn.XLOOKUP($C35,'IT Release 1 Analysis'!$C$2:$C$75,'IT Release 1 Analysis'!K$2:K$75," ")</f>
        <v>x</v>
      </c>
      <c r="O35" s="42"/>
      <c r="P35" s="42"/>
      <c r="Q35" s="42"/>
      <c r="R35" s="42"/>
      <c r="S35" s="42"/>
      <c r="T35" s="42"/>
      <c r="U35" s="42"/>
      <c r="V35" s="42"/>
      <c r="W35" s="42"/>
      <c r="X35" s="42"/>
      <c r="Y35" s="42" t="str">
        <f>_xlfn.XLOOKUP($C35,'IT Release 1 Analysis'!$C$2:$C$75,'IT Release 1 Analysis'!V$2:V$75," ")</f>
        <v>x</v>
      </c>
      <c r="Z35" s="42"/>
    </row>
    <row r="36" spans="1:26" ht="72" thickBot="1" x14ac:dyDescent="0.3">
      <c r="A36" s="10" t="s">
        <v>97</v>
      </c>
      <c r="B36" s="10" t="s">
        <v>98</v>
      </c>
      <c r="C36" s="10" t="s">
        <v>103</v>
      </c>
      <c r="D36" s="10" t="s">
        <v>104</v>
      </c>
      <c r="E36" s="10" t="s">
        <v>105</v>
      </c>
      <c r="F36" s="10" t="s">
        <v>71</v>
      </c>
      <c r="G36" s="10" t="s">
        <v>106</v>
      </c>
      <c r="H36" s="10" t="s">
        <v>18</v>
      </c>
      <c r="I36" s="10"/>
      <c r="J36" s="10"/>
      <c r="K36" s="10" t="s">
        <v>735</v>
      </c>
      <c r="L36" s="10" t="s">
        <v>774</v>
      </c>
      <c r="M36" s="41"/>
      <c r="N36" s="42" t="str">
        <f>_xlfn.XLOOKUP($C36,'IT Release 1 Analysis'!$C$2:$C$75,'IT Release 1 Analysis'!K$2:K$75," ")</f>
        <v>x</v>
      </c>
      <c r="O36" s="42" t="str">
        <f>_xlfn.XLOOKUP($C36,'IT Release 1 Analysis'!$C$2:$C$75,'IT Release 1 Analysis'!L$2:L$75," ")</f>
        <v>x</v>
      </c>
      <c r="P36" s="42"/>
      <c r="Q36" s="42"/>
      <c r="R36" s="42"/>
      <c r="S36" s="42"/>
      <c r="T36" s="42"/>
      <c r="U36" s="42"/>
      <c r="V36" s="42"/>
      <c r="W36" s="42"/>
      <c r="X36" s="42"/>
      <c r="Y36" s="42" t="str">
        <f>_xlfn.XLOOKUP($C36,'IT Release 1 Analysis'!$C$2:$C$75,'IT Release 1 Analysis'!V$2:V$75," ")</f>
        <v>x</v>
      </c>
      <c r="Z36" s="42"/>
    </row>
    <row r="37" spans="1:26" ht="72" thickBot="1" x14ac:dyDescent="0.3">
      <c r="A37" s="10" t="s">
        <v>97</v>
      </c>
      <c r="B37" s="10" t="s">
        <v>98</v>
      </c>
      <c r="C37" s="10" t="s">
        <v>107</v>
      </c>
      <c r="D37" s="10" t="s">
        <v>108</v>
      </c>
      <c r="E37" s="10" t="s">
        <v>105</v>
      </c>
      <c r="F37" s="10" t="s">
        <v>16</v>
      </c>
      <c r="G37" s="10" t="s">
        <v>17</v>
      </c>
      <c r="H37" s="10" t="s">
        <v>18</v>
      </c>
      <c r="I37" s="10"/>
      <c r="J37" s="10"/>
      <c r="K37" s="10" t="s">
        <v>17</v>
      </c>
      <c r="L37" s="10" t="s">
        <v>774</v>
      </c>
      <c r="M37" s="41"/>
      <c r="N37" s="42" t="str">
        <f>_xlfn.XLOOKUP($C37,'IT Release 1 Analysis'!$C$2:$C$75,'IT Release 1 Analysis'!K$2:K$75," ")</f>
        <v>x</v>
      </c>
      <c r="O37" s="42" t="str">
        <f>_xlfn.XLOOKUP($C37,'IT Release 1 Analysis'!$C$2:$C$75,'IT Release 1 Analysis'!L$2:L$75," ")</f>
        <v>x</v>
      </c>
      <c r="P37" s="42"/>
      <c r="Q37" s="42"/>
      <c r="R37" s="42"/>
      <c r="S37" s="42"/>
      <c r="T37" s="42"/>
      <c r="U37" s="42"/>
      <c r="V37" s="42"/>
      <c r="W37" s="42"/>
      <c r="X37" s="42"/>
      <c r="Y37" s="42"/>
      <c r="Z37" s="42"/>
    </row>
    <row r="38" spans="1:26" ht="72" thickBot="1" x14ac:dyDescent="0.3">
      <c r="A38" s="10" t="s">
        <v>97</v>
      </c>
      <c r="B38" s="10" t="s">
        <v>98</v>
      </c>
      <c r="C38" s="10" t="s">
        <v>109</v>
      </c>
      <c r="D38" s="10" t="s">
        <v>110</v>
      </c>
      <c r="E38" s="10" t="s">
        <v>15</v>
      </c>
      <c r="F38" s="10" t="s">
        <v>16</v>
      </c>
      <c r="G38" s="10" t="s">
        <v>17</v>
      </c>
      <c r="H38" s="10" t="s">
        <v>18</v>
      </c>
      <c r="I38" s="10"/>
      <c r="J38" s="10"/>
      <c r="K38" s="10" t="s">
        <v>17</v>
      </c>
      <c r="L38" s="10" t="s">
        <v>773</v>
      </c>
      <c r="M38" s="41"/>
      <c r="N38" s="42" t="str">
        <f>_xlfn.XLOOKUP($C38,'IT Release 1 Analysis'!$C$2:$C$75,'IT Release 1 Analysis'!K$2:K$75," ")</f>
        <v>x</v>
      </c>
      <c r="O38" s="42"/>
      <c r="P38" s="42"/>
      <c r="Q38" s="42"/>
      <c r="R38" s="42"/>
      <c r="S38" s="42"/>
      <c r="T38" s="42"/>
      <c r="U38" s="42" t="str">
        <f>_xlfn.XLOOKUP($C38,'IT Release 1 Analysis'!$C$2:$C$75,'IT Release 1 Analysis'!R$2:R$75," ")</f>
        <v>x</v>
      </c>
      <c r="V38" s="42"/>
      <c r="W38" s="42"/>
      <c r="X38" s="42"/>
      <c r="Y38" s="42" t="str">
        <f>_xlfn.XLOOKUP($C38,'IT Release 1 Analysis'!$C$2:$C$75,'IT Release 1 Analysis'!V$2:V$75," ")</f>
        <v>x</v>
      </c>
      <c r="Z38" s="42"/>
    </row>
    <row r="39" spans="1:26" ht="72" thickBot="1" x14ac:dyDescent="0.3">
      <c r="A39" s="10" t="s">
        <v>97</v>
      </c>
      <c r="B39" s="10" t="s">
        <v>98</v>
      </c>
      <c r="C39" s="10" t="s">
        <v>111</v>
      </c>
      <c r="D39" s="17" t="s">
        <v>112</v>
      </c>
      <c r="E39" s="10" t="s">
        <v>85</v>
      </c>
      <c r="F39" s="10" t="s">
        <v>71</v>
      </c>
      <c r="G39" s="10" t="s">
        <v>113</v>
      </c>
      <c r="H39" s="10" t="s">
        <v>18</v>
      </c>
      <c r="I39" s="10"/>
      <c r="J39" s="10"/>
      <c r="K39" s="10" t="s">
        <v>17</v>
      </c>
      <c r="L39" s="10" t="s">
        <v>776</v>
      </c>
      <c r="M39" s="41"/>
      <c r="N39" s="42"/>
      <c r="O39" s="42" t="str">
        <f>_xlfn.XLOOKUP($C39,'IT Release 1 Analysis'!$C$2:$C$75,'IT Release 1 Analysis'!L$2:L$75," ")</f>
        <v>x</v>
      </c>
      <c r="P39" s="42"/>
      <c r="Q39" s="42"/>
      <c r="R39" s="42"/>
      <c r="S39" s="42"/>
      <c r="T39" s="42"/>
      <c r="U39" s="42"/>
      <c r="V39" s="42"/>
      <c r="W39" s="42"/>
      <c r="X39" s="42"/>
      <c r="Y39" s="42" t="str">
        <f>_xlfn.XLOOKUP($C39,'IT Release 1 Analysis'!$C$2:$C$75,'IT Release 1 Analysis'!V$2:V$75," ")</f>
        <v>x</v>
      </c>
      <c r="Z39" s="42" t="str">
        <f>_xlfn.XLOOKUP($C39,'IT Release 1 Analysis'!$C$2:$C$75,'IT Release 1 Analysis'!W$2:W$75," ")</f>
        <v>x</v>
      </c>
    </row>
    <row r="40" spans="1:26" ht="52.5" customHeight="1" thickBot="1" x14ac:dyDescent="0.3">
      <c r="A40" s="10" t="s">
        <v>114</v>
      </c>
      <c r="B40" s="10" t="s">
        <v>115</v>
      </c>
      <c r="C40" s="10" t="s">
        <v>119</v>
      </c>
      <c r="D40" s="10" t="s">
        <v>120</v>
      </c>
      <c r="E40" s="10" t="s">
        <v>105</v>
      </c>
      <c r="F40" s="10" t="s">
        <v>16</v>
      </c>
      <c r="G40" s="10" t="s">
        <v>17</v>
      </c>
      <c r="H40" s="10" t="s">
        <v>45</v>
      </c>
      <c r="I40" s="10"/>
      <c r="J40" s="10"/>
      <c r="K40" s="10" t="s">
        <v>736</v>
      </c>
      <c r="L40" s="10" t="s">
        <v>774</v>
      </c>
      <c r="M40" s="41"/>
      <c r="N40" s="42"/>
      <c r="O40" s="42" t="str">
        <f>_xlfn.XLOOKUP($C40,'IT Release 1 Analysis'!$C$2:$C$75,'IT Release 1 Analysis'!L$2:L$75," ")</f>
        <v>x</v>
      </c>
      <c r="P40" s="42"/>
      <c r="Q40" s="42"/>
      <c r="R40" s="42"/>
      <c r="S40" s="42"/>
      <c r="T40" s="42"/>
      <c r="U40" s="42"/>
      <c r="V40" s="42"/>
      <c r="W40" s="42"/>
      <c r="X40" s="42"/>
      <c r="Y40" s="42" t="str">
        <f>_xlfn.XLOOKUP($C40,'IT Release 1 Analysis'!$C$2:$C$75,'IT Release 1 Analysis'!V$2:V$75," ")</f>
        <v>x</v>
      </c>
      <c r="Z40" s="42" t="str">
        <f>_xlfn.XLOOKUP($C40,'IT Release 1 Analysis'!$C$2:$C$75,'IT Release 1 Analysis'!W$2:W$75," ")</f>
        <v>x</v>
      </c>
    </row>
    <row r="41" spans="1:26" ht="52.5" customHeight="1" thickBot="1" x14ac:dyDescent="0.3">
      <c r="A41" s="10" t="s">
        <v>114</v>
      </c>
      <c r="B41" s="10" t="s">
        <v>115</v>
      </c>
      <c r="C41" s="10" t="s">
        <v>121</v>
      </c>
      <c r="D41" s="10" t="s">
        <v>122</v>
      </c>
      <c r="E41" s="10" t="s">
        <v>105</v>
      </c>
      <c r="F41" s="10" t="s">
        <v>16</v>
      </c>
      <c r="G41" s="10" t="s">
        <v>17</v>
      </c>
      <c r="H41" s="10" t="s">
        <v>45</v>
      </c>
      <c r="I41" s="10"/>
      <c r="J41" s="10"/>
      <c r="K41" s="10" t="s">
        <v>737</v>
      </c>
      <c r="L41" s="10" t="s">
        <v>774</v>
      </c>
      <c r="M41" s="41"/>
      <c r="N41" s="42"/>
      <c r="O41" s="42" t="str">
        <f>_xlfn.XLOOKUP($C41,'IT Release 1 Analysis'!$C$2:$C$75,'IT Release 1 Analysis'!L$2:L$75," ")</f>
        <v>x</v>
      </c>
      <c r="P41" s="42"/>
      <c r="Q41" s="42"/>
      <c r="R41" s="42"/>
      <c r="S41" s="42"/>
      <c r="T41" s="42"/>
      <c r="U41" s="42"/>
      <c r="V41" s="42"/>
      <c r="W41" s="42"/>
      <c r="X41" s="42"/>
      <c r="Y41" s="42" t="str">
        <f>_xlfn.XLOOKUP($C41,'IT Release 1 Analysis'!$C$2:$C$75,'IT Release 1 Analysis'!V$2:V$75," ")</f>
        <v>x</v>
      </c>
      <c r="Z41" s="42" t="str">
        <f>_xlfn.XLOOKUP($C41,'IT Release 1 Analysis'!$C$2:$C$75,'IT Release 1 Analysis'!W$2:W$75," ")</f>
        <v>x</v>
      </c>
    </row>
    <row r="42" spans="1:26" ht="52.5" customHeight="1" thickBot="1" x14ac:dyDescent="0.3">
      <c r="A42" s="10" t="s">
        <v>114</v>
      </c>
      <c r="B42" s="10" t="s">
        <v>115</v>
      </c>
      <c r="C42" s="10" t="s">
        <v>123</v>
      </c>
      <c r="D42" s="10" t="s">
        <v>124</v>
      </c>
      <c r="E42" s="10" t="s">
        <v>105</v>
      </c>
      <c r="F42" s="10" t="s">
        <v>125</v>
      </c>
      <c r="G42" s="10" t="s">
        <v>17</v>
      </c>
      <c r="H42" s="10" t="s">
        <v>45</v>
      </c>
      <c r="I42" s="10"/>
      <c r="J42" s="10"/>
      <c r="K42" s="10" t="s">
        <v>17</v>
      </c>
      <c r="L42" s="10" t="s">
        <v>783</v>
      </c>
      <c r="M42" s="41"/>
      <c r="N42" s="42" t="str">
        <f>_xlfn.XLOOKUP($C42,'IT Release 1 Analysis'!$C$2:$C$75,'IT Release 1 Analysis'!K$2:K$75," ")</f>
        <v xml:space="preserve"> </v>
      </c>
      <c r="O42" s="42" t="str">
        <f>_xlfn.XLOOKUP($C42,'IT Release 1 Analysis'!$C$2:$C$75,'IT Release 1 Analysis'!L$2:L$75," ")</f>
        <v xml:space="preserve"> </v>
      </c>
      <c r="P42" s="42" t="str">
        <f>_xlfn.XLOOKUP($C42,'IT Release 1 Analysis'!$C$2:$C$75,'IT Release 1 Analysis'!M$2:M$75," ")</f>
        <v xml:space="preserve"> </v>
      </c>
      <c r="Q42" s="42" t="str">
        <f>_xlfn.XLOOKUP($C42,'IT Release 1 Analysis'!$C$2:$C$75,'IT Release 1 Analysis'!N$2:N$75," ")</f>
        <v xml:space="preserve"> </v>
      </c>
      <c r="R42" s="42" t="str">
        <f>_xlfn.XLOOKUP($C42,'IT Release 1 Analysis'!$C$2:$C$75,'IT Release 1 Analysis'!O$2:O$75," ")</f>
        <v xml:space="preserve"> </v>
      </c>
      <c r="S42" s="42" t="str">
        <f>_xlfn.XLOOKUP($C42,'IT Release 1 Analysis'!$C$2:$C$75,'IT Release 1 Analysis'!P$2:P$75," ")</f>
        <v xml:space="preserve"> </v>
      </c>
      <c r="T42" s="42" t="str">
        <f>_xlfn.XLOOKUP($C42,'IT Release 1 Analysis'!$C$2:$C$75,'IT Release 1 Analysis'!Q$2:Q$75," ")</f>
        <v xml:space="preserve"> </v>
      </c>
      <c r="U42" s="42" t="str">
        <f>_xlfn.XLOOKUP($C42,'IT Release 1 Analysis'!$C$2:$C$75,'IT Release 1 Analysis'!R$2:R$75," ")</f>
        <v xml:space="preserve"> </v>
      </c>
      <c r="V42" s="42" t="str">
        <f>_xlfn.XLOOKUP($C42,'IT Release 1 Analysis'!$C$2:$C$75,'IT Release 1 Analysis'!S$2:S$75," ")</f>
        <v xml:space="preserve"> </v>
      </c>
      <c r="W42" s="42" t="str">
        <f>_xlfn.XLOOKUP($C42,'IT Release 1 Analysis'!$C$2:$C$75,'IT Release 1 Analysis'!T$2:T$75," ")</f>
        <v xml:space="preserve"> </v>
      </c>
      <c r="X42" s="42" t="str">
        <f>_xlfn.XLOOKUP($C42,'IT Release 1 Analysis'!$C$2:$C$75,'IT Release 1 Analysis'!U$2:U$75," ")</f>
        <v xml:space="preserve"> </v>
      </c>
      <c r="Y42" s="42" t="str">
        <f>_xlfn.XLOOKUP($C42,'IT Release 1 Analysis'!$C$2:$C$75,'IT Release 1 Analysis'!V$2:V$75," ")</f>
        <v xml:space="preserve"> </v>
      </c>
      <c r="Z42" s="42" t="str">
        <f>_xlfn.XLOOKUP($C42,'IT Release 1 Analysis'!$C$2:$C$75,'IT Release 1 Analysis'!W$2:W$75," ")</f>
        <v xml:space="preserve"> </v>
      </c>
    </row>
    <row r="43" spans="1:26" ht="86.25" thickBot="1" x14ac:dyDescent="0.3">
      <c r="A43" s="10" t="s">
        <v>114</v>
      </c>
      <c r="B43" s="10" t="s">
        <v>115</v>
      </c>
      <c r="C43" s="10" t="s">
        <v>116</v>
      </c>
      <c r="D43" s="10" t="s">
        <v>117</v>
      </c>
      <c r="E43" s="10" t="s">
        <v>118</v>
      </c>
      <c r="F43" s="10" t="s">
        <v>16</v>
      </c>
      <c r="G43" s="10" t="s">
        <v>17</v>
      </c>
      <c r="H43" s="10" t="s">
        <v>18</v>
      </c>
      <c r="I43" s="10"/>
      <c r="J43" s="10"/>
      <c r="K43" s="10" t="s">
        <v>738</v>
      </c>
      <c r="L43" s="10" t="s">
        <v>774</v>
      </c>
      <c r="M43" s="41"/>
      <c r="N43" s="42"/>
      <c r="O43" s="42" t="str">
        <f>_xlfn.XLOOKUP($C43,'IT Release 1 Analysis'!$C$2:$C$75,'IT Release 1 Analysis'!L$2:L$75," ")</f>
        <v>x</v>
      </c>
      <c r="P43" s="42"/>
      <c r="Q43" s="42"/>
      <c r="R43" s="42"/>
      <c r="S43" s="42"/>
      <c r="T43" s="42"/>
      <c r="U43" s="42"/>
      <c r="V43" s="42"/>
      <c r="W43" s="42"/>
      <c r="X43" s="42"/>
      <c r="Y43" s="42" t="str">
        <f>_xlfn.XLOOKUP($C43,'IT Release 1 Analysis'!$C$2:$C$75,'IT Release 1 Analysis'!V$2:V$75," ")</f>
        <v>x</v>
      </c>
      <c r="Z43" s="42" t="str">
        <f>_xlfn.XLOOKUP($C43,'IT Release 1 Analysis'!$C$2:$C$75,'IT Release 1 Analysis'!W$2:W$75," ")</f>
        <v>x</v>
      </c>
    </row>
    <row r="44" spans="1:26" ht="72" thickBot="1" x14ac:dyDescent="0.3">
      <c r="A44" s="10" t="s">
        <v>114</v>
      </c>
      <c r="B44" s="10" t="s">
        <v>115</v>
      </c>
      <c r="C44" s="10" t="s">
        <v>128</v>
      </c>
      <c r="D44" s="17" t="s">
        <v>129</v>
      </c>
      <c r="E44" s="10" t="s">
        <v>105</v>
      </c>
      <c r="F44" s="10" t="s">
        <v>16</v>
      </c>
      <c r="G44" s="10" t="s">
        <v>17</v>
      </c>
      <c r="H44" s="10" t="s">
        <v>21</v>
      </c>
      <c r="I44" s="10"/>
      <c r="J44" s="10"/>
      <c r="K44" s="10" t="s">
        <v>739</v>
      </c>
      <c r="L44" s="10" t="s">
        <v>774</v>
      </c>
      <c r="M44" s="41"/>
      <c r="N44" s="42"/>
      <c r="O44" s="42" t="str">
        <f>_xlfn.XLOOKUP($C44,'IT Release 1 Analysis'!$C$2:$C$75,'IT Release 1 Analysis'!L$2:L$75," ")</f>
        <v>x</v>
      </c>
      <c r="P44" s="42"/>
      <c r="Q44" s="42"/>
      <c r="R44" s="42"/>
      <c r="S44" s="42"/>
      <c r="T44" s="42"/>
      <c r="U44" s="42"/>
      <c r="V44" s="42"/>
      <c r="W44" s="42"/>
      <c r="X44" s="42"/>
      <c r="Y44" s="42"/>
      <c r="Z44" s="42"/>
    </row>
    <row r="45" spans="1:26" ht="57.75" thickBot="1" x14ac:dyDescent="0.3">
      <c r="A45" s="10" t="s">
        <v>114</v>
      </c>
      <c r="B45" s="10" t="s">
        <v>115</v>
      </c>
      <c r="C45" s="10" t="s">
        <v>130</v>
      </c>
      <c r="D45" s="10" t="s">
        <v>131</v>
      </c>
      <c r="E45" s="10" t="s">
        <v>105</v>
      </c>
      <c r="F45" s="10" t="s">
        <v>16</v>
      </c>
      <c r="G45" s="10" t="s">
        <v>17</v>
      </c>
      <c r="H45" s="10" t="s">
        <v>18</v>
      </c>
      <c r="I45" s="10"/>
      <c r="J45" s="10"/>
      <c r="K45" s="10" t="s">
        <v>740</v>
      </c>
      <c r="L45" s="10" t="s">
        <v>776</v>
      </c>
      <c r="M45" s="41"/>
      <c r="N45" s="42" t="str">
        <f>_xlfn.XLOOKUP($C45,'IT Release 1 Analysis'!$C$2:$C$75,'IT Release 1 Analysis'!K$2:K$75," ")</f>
        <v>x</v>
      </c>
      <c r="O45" s="42" t="str">
        <f>_xlfn.XLOOKUP($C45,'IT Release 1 Analysis'!$C$2:$C$75,'IT Release 1 Analysis'!L$2:L$75," ")</f>
        <v>x</v>
      </c>
      <c r="P45" s="42"/>
      <c r="Q45" s="42"/>
      <c r="R45" s="42"/>
      <c r="S45" s="42"/>
      <c r="T45" s="42"/>
      <c r="U45" s="42" t="str">
        <f>_xlfn.XLOOKUP($C45,'IT Release 1 Analysis'!$C$2:$C$75,'IT Release 1 Analysis'!R$2:R$75," ")</f>
        <v>x</v>
      </c>
      <c r="V45" s="42"/>
      <c r="W45" s="42"/>
      <c r="X45" s="42"/>
      <c r="Y45" s="42" t="str">
        <f>_xlfn.XLOOKUP($C45,'IT Release 1 Analysis'!$C$2:$C$75,'IT Release 1 Analysis'!V$2:V$75," ")</f>
        <v>x</v>
      </c>
      <c r="Z45" s="42" t="str">
        <f>_xlfn.XLOOKUP($C45,'IT Release 1 Analysis'!$C$2:$C$75,'IT Release 1 Analysis'!W$2:W$75," ")</f>
        <v>x</v>
      </c>
    </row>
    <row r="46" spans="1:26" ht="57.75" thickBot="1" x14ac:dyDescent="0.3">
      <c r="A46" s="10" t="s">
        <v>114</v>
      </c>
      <c r="B46" s="10" t="s">
        <v>115</v>
      </c>
      <c r="C46" s="10" t="s">
        <v>132</v>
      </c>
      <c r="D46" s="10" t="s">
        <v>133</v>
      </c>
      <c r="E46" s="10" t="s">
        <v>105</v>
      </c>
      <c r="F46" s="10" t="s">
        <v>37</v>
      </c>
      <c r="G46" s="10" t="s">
        <v>17</v>
      </c>
      <c r="H46" s="10" t="s">
        <v>18</v>
      </c>
      <c r="I46" s="10"/>
      <c r="J46" s="10"/>
      <c r="K46" s="10" t="s">
        <v>740</v>
      </c>
      <c r="L46" s="10" t="s">
        <v>783</v>
      </c>
      <c r="M46" s="41"/>
      <c r="N46" s="42" t="str">
        <f>_xlfn.XLOOKUP($C46,'IT Release 1 Analysis'!$C$2:$C$75,'IT Release 1 Analysis'!K$2:K$75," ")</f>
        <v xml:space="preserve"> </v>
      </c>
      <c r="O46" s="42" t="str">
        <f>_xlfn.XLOOKUP($C46,'IT Release 1 Analysis'!$C$2:$C$75,'IT Release 1 Analysis'!L$2:L$75," ")</f>
        <v xml:space="preserve"> </v>
      </c>
      <c r="P46" s="42" t="str">
        <f>_xlfn.XLOOKUP($C46,'IT Release 1 Analysis'!$C$2:$C$75,'IT Release 1 Analysis'!M$2:M$75," ")</f>
        <v xml:space="preserve"> </v>
      </c>
      <c r="Q46" s="42" t="str">
        <f>_xlfn.XLOOKUP($C46,'IT Release 1 Analysis'!$C$2:$C$75,'IT Release 1 Analysis'!N$2:N$75," ")</f>
        <v xml:space="preserve"> </v>
      </c>
      <c r="R46" s="42" t="str">
        <f>_xlfn.XLOOKUP($C46,'IT Release 1 Analysis'!$C$2:$C$75,'IT Release 1 Analysis'!O$2:O$75," ")</f>
        <v xml:space="preserve"> </v>
      </c>
      <c r="S46" s="42" t="str">
        <f>_xlfn.XLOOKUP($C46,'IT Release 1 Analysis'!$C$2:$C$75,'IT Release 1 Analysis'!P$2:P$75," ")</f>
        <v xml:space="preserve"> </v>
      </c>
      <c r="T46" s="42" t="str">
        <f>_xlfn.XLOOKUP($C46,'IT Release 1 Analysis'!$C$2:$C$75,'IT Release 1 Analysis'!Q$2:Q$75," ")</f>
        <v xml:space="preserve"> </v>
      </c>
      <c r="U46" s="42" t="str">
        <f>_xlfn.XLOOKUP($C46,'IT Release 1 Analysis'!$C$2:$C$75,'IT Release 1 Analysis'!R$2:R$75," ")</f>
        <v xml:space="preserve"> </v>
      </c>
      <c r="V46" s="42" t="str">
        <f>_xlfn.XLOOKUP($C46,'IT Release 1 Analysis'!$C$2:$C$75,'IT Release 1 Analysis'!S$2:S$75," ")</f>
        <v xml:space="preserve"> </v>
      </c>
      <c r="W46" s="42" t="str">
        <f>_xlfn.XLOOKUP($C46,'IT Release 1 Analysis'!$C$2:$C$75,'IT Release 1 Analysis'!T$2:T$75," ")</f>
        <v xml:space="preserve"> </v>
      </c>
      <c r="X46" s="42" t="str">
        <f>_xlfn.XLOOKUP($C46,'IT Release 1 Analysis'!$C$2:$C$75,'IT Release 1 Analysis'!U$2:U$75," ")</f>
        <v xml:space="preserve"> </v>
      </c>
      <c r="Y46" s="42" t="str">
        <f>_xlfn.XLOOKUP($C46,'IT Release 1 Analysis'!$C$2:$C$75,'IT Release 1 Analysis'!V$2:V$75," ")</f>
        <v xml:space="preserve"> </v>
      </c>
      <c r="Z46" s="42" t="str">
        <f>_xlfn.XLOOKUP($C46,'IT Release 1 Analysis'!$C$2:$C$75,'IT Release 1 Analysis'!W$2:W$75," ")</f>
        <v xml:space="preserve"> </v>
      </c>
    </row>
    <row r="47" spans="1:26" ht="90.75" customHeight="1" thickBot="1" x14ac:dyDescent="0.3">
      <c r="A47" s="10" t="s">
        <v>114</v>
      </c>
      <c r="B47" s="10" t="s">
        <v>115</v>
      </c>
      <c r="C47" s="10" t="s">
        <v>134</v>
      </c>
      <c r="D47" s="10" t="s">
        <v>135</v>
      </c>
      <c r="E47" s="10" t="s">
        <v>105</v>
      </c>
      <c r="F47" s="10" t="s">
        <v>16</v>
      </c>
      <c r="G47" s="10" t="s">
        <v>17</v>
      </c>
      <c r="H47" s="10" t="s">
        <v>18</v>
      </c>
      <c r="I47" s="10"/>
      <c r="J47" s="10"/>
      <c r="K47" s="10" t="s">
        <v>17</v>
      </c>
      <c r="L47" s="10" t="s">
        <v>776</v>
      </c>
      <c r="M47" s="41"/>
      <c r="N47" s="42"/>
      <c r="O47" s="42" t="str">
        <f>_xlfn.XLOOKUP($C47,'IT Release 1 Analysis'!$C$2:$C$75,'IT Release 1 Analysis'!L$2:L$75," ")</f>
        <v>x</v>
      </c>
      <c r="P47" s="42"/>
      <c r="Q47" s="42"/>
      <c r="R47" s="42"/>
      <c r="S47" s="42"/>
      <c r="T47" s="42"/>
      <c r="U47" s="42"/>
      <c r="V47" s="42"/>
      <c r="W47" s="42"/>
      <c r="X47" s="42"/>
      <c r="Y47" s="42" t="str">
        <f>_xlfn.XLOOKUP($C47,'IT Release 1 Analysis'!$C$2:$C$75,'IT Release 1 Analysis'!V$2:V$75," ")</f>
        <v>x</v>
      </c>
      <c r="Z47" s="42" t="str">
        <f>_xlfn.XLOOKUP($C47,'IT Release 1 Analysis'!$C$2:$C$75,'IT Release 1 Analysis'!W$2:W$75," ")</f>
        <v>x</v>
      </c>
    </row>
    <row r="48" spans="1:26" ht="72" thickBot="1" x14ac:dyDescent="0.3">
      <c r="A48" s="10" t="s">
        <v>114</v>
      </c>
      <c r="B48" s="10" t="s">
        <v>115</v>
      </c>
      <c r="C48" s="10" t="s">
        <v>136</v>
      </c>
      <c r="D48" s="17" t="s">
        <v>137</v>
      </c>
      <c r="E48" s="10" t="s">
        <v>105</v>
      </c>
      <c r="F48" s="10" t="s">
        <v>16</v>
      </c>
      <c r="G48" s="10" t="s">
        <v>17</v>
      </c>
      <c r="H48" s="10" t="s">
        <v>21</v>
      </c>
      <c r="I48" s="10"/>
      <c r="J48" s="10"/>
      <c r="K48" s="10" t="s">
        <v>741</v>
      </c>
      <c r="L48" s="10" t="s">
        <v>774</v>
      </c>
      <c r="M48" s="41"/>
      <c r="N48" s="42"/>
      <c r="O48" s="42" t="str">
        <f>_xlfn.XLOOKUP($C48,'IT Release 1 Analysis'!$C$2:$C$75,'IT Release 1 Analysis'!L$2:L$75," ")</f>
        <v>x</v>
      </c>
      <c r="P48" s="42"/>
      <c r="Q48" s="42"/>
      <c r="R48" s="42"/>
      <c r="S48" s="42"/>
      <c r="T48" s="42"/>
      <c r="U48" s="42"/>
      <c r="V48" s="42"/>
      <c r="W48" s="42"/>
      <c r="X48" s="42"/>
      <c r="Y48" s="42"/>
      <c r="Z48" s="42" t="str">
        <f>_xlfn.XLOOKUP($C48,'IT Release 1 Analysis'!$C$2:$C$75,'IT Release 1 Analysis'!W$2:W$75," ")</f>
        <v>x</v>
      </c>
    </row>
    <row r="49" spans="1:26" ht="78.75" customHeight="1" thickBot="1" x14ac:dyDescent="0.3">
      <c r="A49" s="10" t="s">
        <v>114</v>
      </c>
      <c r="B49" s="10" t="s">
        <v>138</v>
      </c>
      <c r="C49" s="10" t="s">
        <v>705</v>
      </c>
      <c r="D49" s="10" t="s">
        <v>140</v>
      </c>
      <c r="E49" s="10" t="s">
        <v>141</v>
      </c>
      <c r="F49" s="10" t="s">
        <v>16</v>
      </c>
      <c r="G49" s="10" t="s">
        <v>17</v>
      </c>
      <c r="H49" s="10" t="s">
        <v>45</v>
      </c>
      <c r="I49" s="10"/>
      <c r="J49" s="10"/>
      <c r="K49" s="10" t="s">
        <v>17</v>
      </c>
      <c r="L49" s="10" t="s">
        <v>776</v>
      </c>
      <c r="M49" s="41"/>
      <c r="N49" s="42"/>
      <c r="O49" s="42" t="str">
        <f>_xlfn.XLOOKUP($C49,'IT Release 1 Analysis'!$C$2:$C$75,'IT Release 1 Analysis'!L$2:L$75," ")</f>
        <v>x</v>
      </c>
      <c r="P49" s="42" t="str">
        <f>_xlfn.XLOOKUP($C49,'IT Release 1 Analysis'!$C$2:$C$75,'IT Release 1 Analysis'!M$2:M$75," ")</f>
        <v>x</v>
      </c>
      <c r="Q49" s="42"/>
      <c r="R49" s="42"/>
      <c r="S49" s="42"/>
      <c r="T49" s="42"/>
      <c r="U49" s="42"/>
      <c r="V49" s="42"/>
      <c r="W49" s="42"/>
      <c r="X49" s="42"/>
      <c r="Y49" s="42"/>
      <c r="Z49" s="42"/>
    </row>
    <row r="50" spans="1:26" ht="94.5" customHeight="1" thickBot="1" x14ac:dyDescent="0.3">
      <c r="A50" s="10" t="s">
        <v>114</v>
      </c>
      <c r="B50" s="10" t="s">
        <v>138</v>
      </c>
      <c r="C50" s="10" t="s">
        <v>706</v>
      </c>
      <c r="D50" s="10" t="s">
        <v>143</v>
      </c>
      <c r="E50" s="10" t="s">
        <v>141</v>
      </c>
      <c r="F50" s="10" t="s">
        <v>16</v>
      </c>
      <c r="G50" s="10" t="s">
        <v>17</v>
      </c>
      <c r="H50" s="10" t="s">
        <v>45</v>
      </c>
      <c r="I50" s="10"/>
      <c r="J50" s="10"/>
      <c r="K50" s="10" t="s">
        <v>17</v>
      </c>
      <c r="L50" s="10" t="s">
        <v>776</v>
      </c>
      <c r="M50" s="41"/>
      <c r="N50" s="42"/>
      <c r="O50" s="42" t="str">
        <f>_xlfn.XLOOKUP($C50,'IT Release 1 Analysis'!$C$2:$C$75,'IT Release 1 Analysis'!L$2:L$75," ")</f>
        <v>x</v>
      </c>
      <c r="P50" s="42" t="str">
        <f>_xlfn.XLOOKUP($C50,'IT Release 1 Analysis'!$C$2:$C$75,'IT Release 1 Analysis'!M$2:M$75," ")</f>
        <v>x</v>
      </c>
      <c r="Q50" s="42"/>
      <c r="R50" s="42"/>
      <c r="S50" s="42"/>
      <c r="T50" s="42"/>
      <c r="U50" s="42"/>
      <c r="V50" s="42"/>
      <c r="W50" s="42"/>
      <c r="X50" s="42"/>
      <c r="Y50" s="42"/>
      <c r="Z50" s="42"/>
    </row>
    <row r="51" spans="1:26" ht="94.5" customHeight="1" thickBot="1" x14ac:dyDescent="0.3">
      <c r="A51" s="10" t="s">
        <v>114</v>
      </c>
      <c r="B51" s="10" t="s">
        <v>138</v>
      </c>
      <c r="C51" s="10" t="s">
        <v>707</v>
      </c>
      <c r="D51" s="10" t="s">
        <v>708</v>
      </c>
      <c r="E51" s="10" t="s">
        <v>105</v>
      </c>
      <c r="F51" s="10" t="s">
        <v>16</v>
      </c>
      <c r="G51" s="10" t="s">
        <v>17</v>
      </c>
      <c r="H51" s="10" t="s">
        <v>45</v>
      </c>
      <c r="I51" s="10"/>
      <c r="J51" s="10"/>
      <c r="K51" s="10" t="s">
        <v>17</v>
      </c>
      <c r="L51" s="10" t="s">
        <v>776</v>
      </c>
      <c r="M51" s="41"/>
      <c r="N51" s="42" t="str">
        <f>_xlfn.XLOOKUP($C51,'IT Release 1 Analysis'!$C$2:$C$75,'IT Release 1 Analysis'!K$2:K$75," ")</f>
        <v>x</v>
      </c>
      <c r="O51" s="42" t="str">
        <f>_xlfn.XLOOKUP($C51,'IT Release 1 Analysis'!$C$2:$C$75,'IT Release 1 Analysis'!L$2:L$75," ")</f>
        <v>x</v>
      </c>
      <c r="P51" s="42"/>
      <c r="Q51" s="42"/>
      <c r="R51" s="42"/>
      <c r="S51" s="42"/>
      <c r="T51" s="42"/>
      <c r="U51" s="42"/>
      <c r="V51" s="42"/>
      <c r="W51" s="42"/>
      <c r="X51" s="42"/>
      <c r="Y51" s="42"/>
      <c r="Z51" s="42"/>
    </row>
    <row r="52" spans="1:26" ht="43.5" thickBot="1" x14ac:dyDescent="0.3">
      <c r="A52" s="10" t="s">
        <v>114</v>
      </c>
      <c r="B52" s="10" t="s">
        <v>144</v>
      </c>
      <c r="C52" s="10" t="s">
        <v>145</v>
      </c>
      <c r="D52" s="10" t="s">
        <v>146</v>
      </c>
      <c r="E52" s="10" t="s">
        <v>51</v>
      </c>
      <c r="F52" s="10" t="s">
        <v>16</v>
      </c>
      <c r="G52" s="10" t="s">
        <v>17</v>
      </c>
      <c r="H52" s="10" t="s">
        <v>18</v>
      </c>
      <c r="I52" s="10"/>
      <c r="J52" s="10"/>
      <c r="K52" s="10" t="s">
        <v>742</v>
      </c>
      <c r="L52" s="10" t="s">
        <v>776</v>
      </c>
      <c r="M52" s="41"/>
      <c r="N52" s="42"/>
      <c r="O52" s="42" t="str">
        <f>_xlfn.XLOOKUP($C52,'IT Release 1 Analysis'!$C$2:$C$75,'IT Release 1 Analysis'!L$2:L$75," ")</f>
        <v>x</v>
      </c>
      <c r="P52" s="42" t="str">
        <f>_xlfn.XLOOKUP($C52,'IT Release 1 Analysis'!$C$2:$C$75,'IT Release 1 Analysis'!M$2:M$75," ")</f>
        <v>x</v>
      </c>
      <c r="Q52" s="42"/>
      <c r="R52" s="42"/>
      <c r="S52" s="42"/>
      <c r="T52" s="42"/>
      <c r="U52" s="42"/>
      <c r="V52" s="42"/>
      <c r="W52" s="42"/>
      <c r="X52" s="42"/>
      <c r="Y52" s="42"/>
      <c r="Z52" s="42"/>
    </row>
    <row r="53" spans="1:26" ht="57.75" thickBot="1" x14ac:dyDescent="0.3">
      <c r="A53" s="10" t="s">
        <v>114</v>
      </c>
      <c r="B53" s="10" t="s">
        <v>144</v>
      </c>
      <c r="C53" s="10" t="s">
        <v>147</v>
      </c>
      <c r="D53" s="10" t="s">
        <v>148</v>
      </c>
      <c r="E53" s="10" t="s">
        <v>51</v>
      </c>
      <c r="F53" s="10" t="s">
        <v>16</v>
      </c>
      <c r="G53" s="10" t="s">
        <v>17</v>
      </c>
      <c r="H53" s="10" t="s">
        <v>18</v>
      </c>
      <c r="I53" s="10"/>
      <c r="J53" s="10"/>
      <c r="K53" s="10" t="s">
        <v>740</v>
      </c>
      <c r="L53" s="10" t="s">
        <v>776</v>
      </c>
      <c r="M53" s="41"/>
      <c r="N53" s="42"/>
      <c r="O53" s="42" t="str">
        <f>_xlfn.XLOOKUP($C53,'IT Release 1 Analysis'!$C$2:$C$75,'IT Release 1 Analysis'!L$2:L$75," ")</f>
        <v>x</v>
      </c>
      <c r="P53" s="42" t="str">
        <f>_xlfn.XLOOKUP($C53,'IT Release 1 Analysis'!$C$2:$C$75,'IT Release 1 Analysis'!M$2:M$75," ")</f>
        <v>x</v>
      </c>
      <c r="Q53" s="42"/>
      <c r="R53" s="42"/>
      <c r="S53" s="42"/>
      <c r="T53" s="42"/>
      <c r="U53" s="42"/>
      <c r="V53" s="42"/>
      <c r="W53" s="42"/>
      <c r="X53" s="42"/>
      <c r="Y53" s="42"/>
      <c r="Z53" s="42"/>
    </row>
    <row r="54" spans="1:26" ht="72" thickBot="1" x14ac:dyDescent="0.3">
      <c r="A54" s="10" t="s">
        <v>114</v>
      </c>
      <c r="B54" s="10" t="s">
        <v>149</v>
      </c>
      <c r="C54" s="10" t="s">
        <v>150</v>
      </c>
      <c r="D54" s="10" t="s">
        <v>151</v>
      </c>
      <c r="E54" s="10" t="s">
        <v>85</v>
      </c>
      <c r="F54" s="10" t="s">
        <v>71</v>
      </c>
      <c r="G54" s="10" t="s">
        <v>152</v>
      </c>
      <c r="H54" s="10" t="s">
        <v>18</v>
      </c>
      <c r="I54" s="10"/>
      <c r="J54" s="10"/>
      <c r="K54" s="10" t="s">
        <v>743</v>
      </c>
      <c r="L54" s="10" t="s">
        <v>776</v>
      </c>
      <c r="M54" s="41"/>
      <c r="N54" s="42"/>
      <c r="O54" s="42"/>
      <c r="P54" s="42"/>
      <c r="Q54" s="42"/>
      <c r="R54" s="42"/>
      <c r="S54" s="42"/>
      <c r="T54" s="42"/>
      <c r="U54" s="42"/>
      <c r="V54" s="42"/>
      <c r="W54" s="42"/>
      <c r="X54" s="42"/>
      <c r="Y54" s="42"/>
      <c r="Z54" s="42" t="str">
        <f>_xlfn.XLOOKUP($C54,'IT Release 1 Analysis'!$C$2:$C$75,'IT Release 1 Analysis'!W$2:W$75," ")</f>
        <v>x</v>
      </c>
    </row>
    <row r="55" spans="1:26" ht="72" thickBot="1" x14ac:dyDescent="0.3">
      <c r="A55" s="10" t="s">
        <v>114</v>
      </c>
      <c r="B55" s="10" t="s">
        <v>153</v>
      </c>
      <c r="C55" s="10" t="s">
        <v>154</v>
      </c>
      <c r="D55" s="17" t="s">
        <v>155</v>
      </c>
      <c r="E55" s="10" t="s">
        <v>15</v>
      </c>
      <c r="F55" s="10" t="s">
        <v>16</v>
      </c>
      <c r="G55" s="10" t="s">
        <v>17</v>
      </c>
      <c r="H55" s="10" t="s">
        <v>21</v>
      </c>
      <c r="I55" s="10"/>
      <c r="J55" s="10"/>
      <c r="K55" s="10" t="s">
        <v>744</v>
      </c>
      <c r="L55" s="10" t="s">
        <v>773</v>
      </c>
      <c r="M55" s="41"/>
      <c r="N55" s="42" t="str">
        <f>_xlfn.XLOOKUP($C55,'IT Release 1 Analysis'!$C$2:$C$75,'IT Release 1 Analysis'!K$2:K$75," ")</f>
        <v>x</v>
      </c>
      <c r="O55" s="42"/>
      <c r="P55" s="42" t="str">
        <f>_xlfn.XLOOKUP($C55,'IT Release 1 Analysis'!$C$2:$C$75,'IT Release 1 Analysis'!M$2:M$75," ")</f>
        <v>x</v>
      </c>
      <c r="Q55" s="42"/>
      <c r="R55" s="42"/>
      <c r="S55" s="42"/>
      <c r="T55" s="42"/>
      <c r="U55" s="42" t="str">
        <f>_xlfn.XLOOKUP($C55,'IT Release 1 Analysis'!$C$2:$C$75,'IT Release 1 Analysis'!R$2:R$75," ")</f>
        <v>x</v>
      </c>
      <c r="V55" s="42"/>
      <c r="W55" s="42"/>
      <c r="X55" s="42"/>
      <c r="Y55" s="42"/>
      <c r="Z55" s="42"/>
    </row>
    <row r="56" spans="1:26" ht="72" thickBot="1" x14ac:dyDescent="0.3">
      <c r="A56" s="10" t="s">
        <v>114</v>
      </c>
      <c r="B56" s="10" t="s">
        <v>153</v>
      </c>
      <c r="C56" s="10" t="s">
        <v>156</v>
      </c>
      <c r="D56" s="17" t="s">
        <v>157</v>
      </c>
      <c r="E56" s="10" t="s">
        <v>15</v>
      </c>
      <c r="F56" s="10" t="s">
        <v>16</v>
      </c>
      <c r="G56" s="10" t="s">
        <v>17</v>
      </c>
      <c r="H56" s="10" t="s">
        <v>21</v>
      </c>
      <c r="I56" s="10"/>
      <c r="J56" s="10"/>
      <c r="K56" s="10" t="s">
        <v>744</v>
      </c>
      <c r="L56" s="10" t="s">
        <v>773</v>
      </c>
      <c r="M56" s="41"/>
      <c r="N56" s="42" t="str">
        <f>_xlfn.XLOOKUP($C56,'IT Release 1 Analysis'!$C$2:$C$75,'IT Release 1 Analysis'!K$2:K$75," ")</f>
        <v>x</v>
      </c>
      <c r="O56" s="42"/>
      <c r="P56" s="42" t="str">
        <f>_xlfn.XLOOKUP($C56,'IT Release 1 Analysis'!$C$2:$C$75,'IT Release 1 Analysis'!M$2:M$75," ")</f>
        <v>x</v>
      </c>
      <c r="Q56" s="42"/>
      <c r="R56" s="42"/>
      <c r="S56" s="42"/>
      <c r="T56" s="42"/>
      <c r="U56" s="42" t="str">
        <f>_xlfn.XLOOKUP($C56,'IT Release 1 Analysis'!$C$2:$C$75,'IT Release 1 Analysis'!R$2:R$75," ")</f>
        <v>x</v>
      </c>
      <c r="V56" s="42"/>
      <c r="W56" s="42"/>
      <c r="X56" s="42"/>
      <c r="Y56" s="42"/>
      <c r="Z56" s="42"/>
    </row>
    <row r="57" spans="1:26" ht="72" thickBot="1" x14ac:dyDescent="0.3">
      <c r="A57" s="10" t="s">
        <v>114</v>
      </c>
      <c r="B57" s="10" t="s">
        <v>153</v>
      </c>
      <c r="C57" s="10" t="s">
        <v>709</v>
      </c>
      <c r="D57" s="10" t="s">
        <v>711</v>
      </c>
      <c r="E57" s="10" t="s">
        <v>15</v>
      </c>
      <c r="F57" s="10" t="s">
        <v>16</v>
      </c>
      <c r="G57" s="10" t="s">
        <v>17</v>
      </c>
      <c r="H57" s="10" t="s">
        <v>18</v>
      </c>
      <c r="I57" s="10"/>
      <c r="J57" s="10"/>
      <c r="K57" s="10" t="s">
        <v>745</v>
      </c>
      <c r="L57" s="10" t="s">
        <v>773</v>
      </c>
      <c r="M57" s="41"/>
      <c r="N57" s="42" t="str">
        <f>_xlfn.XLOOKUP($C57,'IT Release 1 Analysis'!$C$2:$C$75,'IT Release 1 Analysis'!K$2:K$75," ")</f>
        <v>x</v>
      </c>
      <c r="O57" s="42"/>
      <c r="P57" s="42"/>
      <c r="Q57" s="42"/>
      <c r="R57" s="42"/>
      <c r="S57" s="42"/>
      <c r="T57" s="42"/>
      <c r="U57" s="42" t="str">
        <f>_xlfn.XLOOKUP($C57,'IT Release 1 Analysis'!$C$2:$C$75,'IT Release 1 Analysis'!R$2:R$75," ")</f>
        <v>x</v>
      </c>
      <c r="V57" s="42"/>
      <c r="W57" s="42" t="str">
        <f>_xlfn.XLOOKUP($C57,'IT Release 1 Analysis'!$C$2:$C$75,'IT Release 1 Analysis'!T$2:T$75," ")</f>
        <v>x</v>
      </c>
      <c r="X57" s="42"/>
      <c r="Y57" s="42"/>
      <c r="Z57" s="42"/>
    </row>
    <row r="58" spans="1:26" ht="72" thickBot="1" x14ac:dyDescent="0.3">
      <c r="A58" s="10" t="s">
        <v>114</v>
      </c>
      <c r="B58" s="10" t="s">
        <v>153</v>
      </c>
      <c r="C58" s="10" t="s">
        <v>710</v>
      </c>
      <c r="D58" s="10" t="s">
        <v>712</v>
      </c>
      <c r="E58" s="10" t="s">
        <v>15</v>
      </c>
      <c r="F58" s="10" t="s">
        <v>16</v>
      </c>
      <c r="G58" s="10" t="s">
        <v>17</v>
      </c>
      <c r="H58" s="10" t="s">
        <v>18</v>
      </c>
      <c r="I58" s="10"/>
      <c r="J58" s="10"/>
      <c r="K58" s="10" t="s">
        <v>727</v>
      </c>
      <c r="L58" s="10" t="s">
        <v>773</v>
      </c>
      <c r="M58" s="41"/>
      <c r="N58" s="42" t="str">
        <f>_xlfn.XLOOKUP($C58,'IT Release 1 Analysis'!$C$2:$C$75,'IT Release 1 Analysis'!K$2:K$75," ")</f>
        <v>x</v>
      </c>
      <c r="O58" s="42"/>
      <c r="P58" s="42"/>
      <c r="Q58" s="42"/>
      <c r="R58" s="42"/>
      <c r="S58" s="42"/>
      <c r="T58" s="42"/>
      <c r="U58" s="42" t="str">
        <f>_xlfn.XLOOKUP($C58,'IT Release 1 Analysis'!$C$2:$C$75,'IT Release 1 Analysis'!R$2:R$75," ")</f>
        <v>x</v>
      </c>
      <c r="V58" s="42"/>
      <c r="W58" s="42" t="str">
        <f>_xlfn.XLOOKUP($C58,'IT Release 1 Analysis'!$C$2:$C$75,'IT Release 1 Analysis'!T$2:T$75," ")</f>
        <v>x</v>
      </c>
      <c r="X58" s="42"/>
      <c r="Y58" s="42"/>
      <c r="Z58" s="42"/>
    </row>
    <row r="59" spans="1:26" ht="57.75" thickBot="1" x14ac:dyDescent="0.3">
      <c r="A59" s="10" t="s">
        <v>114</v>
      </c>
      <c r="B59" s="10" t="s">
        <v>153</v>
      </c>
      <c r="C59" s="10" t="s">
        <v>160</v>
      </c>
      <c r="D59" s="10" t="s">
        <v>161</v>
      </c>
      <c r="E59" s="10" t="s">
        <v>15</v>
      </c>
      <c r="F59" s="10" t="s">
        <v>16</v>
      </c>
      <c r="G59" s="10" t="s">
        <v>17</v>
      </c>
      <c r="H59" s="10" t="s">
        <v>18</v>
      </c>
      <c r="I59" s="10"/>
      <c r="J59" s="10"/>
      <c r="K59" s="10" t="s">
        <v>744</v>
      </c>
      <c r="L59" s="10" t="s">
        <v>773</v>
      </c>
      <c r="M59" s="41"/>
      <c r="N59" s="42" t="str">
        <f>_xlfn.XLOOKUP($C59,'IT Release 1 Analysis'!$C$2:$C$75,'IT Release 1 Analysis'!K$2:K$75," ")</f>
        <v>x</v>
      </c>
      <c r="O59" s="42"/>
      <c r="P59" s="42" t="str">
        <f>_xlfn.XLOOKUP($C59,'IT Release 1 Analysis'!$C$2:$C$75,'IT Release 1 Analysis'!M$2:M$75," ")</f>
        <v>x</v>
      </c>
      <c r="Q59" s="42"/>
      <c r="R59" s="42"/>
      <c r="S59" s="42"/>
      <c r="T59" s="42"/>
      <c r="U59" s="42"/>
      <c r="V59" s="42"/>
      <c r="W59" s="42"/>
      <c r="X59" s="42"/>
      <c r="Y59" s="42"/>
      <c r="Z59" s="42"/>
    </row>
    <row r="60" spans="1:26" ht="57.75" thickBot="1" x14ac:dyDescent="0.3">
      <c r="A60" s="10" t="s">
        <v>114</v>
      </c>
      <c r="B60" s="10" t="s">
        <v>153</v>
      </c>
      <c r="C60" s="11" t="s">
        <v>162</v>
      </c>
      <c r="D60" s="10" t="s">
        <v>163</v>
      </c>
      <c r="E60" s="10" t="s">
        <v>15</v>
      </c>
      <c r="F60" s="10" t="s">
        <v>16</v>
      </c>
      <c r="G60" s="10" t="s">
        <v>17</v>
      </c>
      <c r="H60" s="10" t="s">
        <v>18</v>
      </c>
      <c r="I60" s="10"/>
      <c r="J60" s="10"/>
      <c r="K60" s="10" t="s">
        <v>744</v>
      </c>
      <c r="L60" s="10" t="s">
        <v>773</v>
      </c>
      <c r="M60" s="41"/>
      <c r="N60" s="42"/>
      <c r="O60" s="42"/>
      <c r="P60" s="42" t="str">
        <f>_xlfn.XLOOKUP($C60,'IT Release 1 Analysis'!$C$2:$C$75,'IT Release 1 Analysis'!M$2:M$75," ")</f>
        <v>x</v>
      </c>
      <c r="Q60" s="42"/>
      <c r="R60" s="42"/>
      <c r="S60" s="42"/>
      <c r="T60" s="42"/>
      <c r="U60" s="42"/>
      <c r="V60" s="42"/>
      <c r="W60" s="42"/>
      <c r="X60" s="42"/>
      <c r="Y60" s="42"/>
      <c r="Z60" s="42"/>
    </row>
    <row r="61" spans="1:26" ht="72" thickBot="1" x14ac:dyDescent="0.3">
      <c r="A61" s="10" t="s">
        <v>114</v>
      </c>
      <c r="B61" s="10" t="s">
        <v>164</v>
      </c>
      <c r="C61" s="10" t="s">
        <v>165</v>
      </c>
      <c r="D61" s="10" t="s">
        <v>166</v>
      </c>
      <c r="E61" s="10" t="s">
        <v>51</v>
      </c>
      <c r="F61" s="10" t="s">
        <v>167</v>
      </c>
      <c r="G61" s="10" t="s">
        <v>168</v>
      </c>
      <c r="H61" s="10" t="s">
        <v>18</v>
      </c>
      <c r="I61" s="10"/>
      <c r="J61" s="10"/>
      <c r="K61" s="10" t="s">
        <v>17</v>
      </c>
      <c r="L61" s="10" t="s">
        <v>783</v>
      </c>
      <c r="M61" s="41"/>
      <c r="N61" s="42" t="str">
        <f>_xlfn.XLOOKUP($C61,'IT Release 1 Analysis'!$C$2:$C$75,'IT Release 1 Analysis'!K$2:K$75," ")</f>
        <v xml:space="preserve"> </v>
      </c>
      <c r="O61" s="42" t="str">
        <f>_xlfn.XLOOKUP($C61,'IT Release 1 Analysis'!$C$2:$C$75,'IT Release 1 Analysis'!L$2:L$75," ")</f>
        <v xml:space="preserve"> </v>
      </c>
      <c r="P61" s="42" t="str">
        <f>_xlfn.XLOOKUP($C61,'IT Release 1 Analysis'!$C$2:$C$75,'IT Release 1 Analysis'!M$2:M$75," ")</f>
        <v xml:space="preserve"> </v>
      </c>
      <c r="Q61" s="42" t="str">
        <f>_xlfn.XLOOKUP($C61,'IT Release 1 Analysis'!$C$2:$C$75,'IT Release 1 Analysis'!N$2:N$75," ")</f>
        <v xml:space="preserve"> </v>
      </c>
      <c r="R61" s="42" t="str">
        <f>_xlfn.XLOOKUP($C61,'IT Release 1 Analysis'!$C$2:$C$75,'IT Release 1 Analysis'!O$2:O$75," ")</f>
        <v xml:space="preserve"> </v>
      </c>
      <c r="S61" s="42" t="str">
        <f>_xlfn.XLOOKUP($C61,'IT Release 1 Analysis'!$C$2:$C$75,'IT Release 1 Analysis'!P$2:P$75," ")</f>
        <v xml:space="preserve"> </v>
      </c>
      <c r="T61" s="42" t="str">
        <f>_xlfn.XLOOKUP($C61,'IT Release 1 Analysis'!$C$2:$C$75,'IT Release 1 Analysis'!Q$2:Q$75," ")</f>
        <v xml:space="preserve"> </v>
      </c>
      <c r="U61" s="42" t="str">
        <f>_xlfn.XLOOKUP($C61,'IT Release 1 Analysis'!$C$2:$C$75,'IT Release 1 Analysis'!R$2:R$75," ")</f>
        <v xml:space="preserve"> </v>
      </c>
      <c r="V61" s="42" t="str">
        <f>_xlfn.XLOOKUP($C61,'IT Release 1 Analysis'!$C$2:$C$75,'IT Release 1 Analysis'!S$2:S$75," ")</f>
        <v xml:space="preserve"> </v>
      </c>
      <c r="W61" s="42" t="str">
        <f>_xlfn.XLOOKUP($C61,'IT Release 1 Analysis'!$C$2:$C$75,'IT Release 1 Analysis'!T$2:T$75," ")</f>
        <v xml:space="preserve"> </v>
      </c>
      <c r="X61" s="42" t="str">
        <f>_xlfn.XLOOKUP($C61,'IT Release 1 Analysis'!$C$2:$C$75,'IT Release 1 Analysis'!U$2:U$75," ")</f>
        <v xml:space="preserve"> </v>
      </c>
      <c r="Y61" s="42" t="str">
        <f>_xlfn.XLOOKUP($C61,'IT Release 1 Analysis'!$C$2:$C$75,'IT Release 1 Analysis'!V$2:V$75," ")</f>
        <v xml:space="preserve"> </v>
      </c>
      <c r="Z61" s="42" t="str">
        <f>_xlfn.XLOOKUP($C61,'IT Release 1 Analysis'!$C$2:$C$75,'IT Release 1 Analysis'!W$2:W$75," ")</f>
        <v xml:space="preserve"> </v>
      </c>
    </row>
    <row r="62" spans="1:26" ht="57.75" thickBot="1" x14ac:dyDescent="0.3">
      <c r="A62" s="10" t="s">
        <v>114</v>
      </c>
      <c r="B62" s="10" t="s">
        <v>169</v>
      </c>
      <c r="C62" s="10" t="s">
        <v>170</v>
      </c>
      <c r="D62" s="10" t="s">
        <v>171</v>
      </c>
      <c r="E62" s="10" t="s">
        <v>15</v>
      </c>
      <c r="F62" s="10" t="s">
        <v>37</v>
      </c>
      <c r="G62" s="10" t="s">
        <v>17</v>
      </c>
      <c r="H62" s="10" t="s">
        <v>45</v>
      </c>
      <c r="I62" s="10"/>
      <c r="J62" s="10"/>
      <c r="K62" s="10" t="s">
        <v>17</v>
      </c>
      <c r="L62" s="10" t="s">
        <v>783</v>
      </c>
      <c r="M62" s="41"/>
      <c r="N62" s="42" t="str">
        <f>_xlfn.XLOOKUP($C62,'IT Release 1 Analysis'!$C$2:$C$75,'IT Release 1 Analysis'!K$2:K$75," ")</f>
        <v xml:space="preserve"> </v>
      </c>
      <c r="O62" s="42" t="str">
        <f>_xlfn.XLOOKUP($C62,'IT Release 1 Analysis'!$C$2:$C$75,'IT Release 1 Analysis'!L$2:L$75," ")</f>
        <v xml:space="preserve"> </v>
      </c>
      <c r="P62" s="42" t="str">
        <f>_xlfn.XLOOKUP($C62,'IT Release 1 Analysis'!$C$2:$C$75,'IT Release 1 Analysis'!M$2:M$75," ")</f>
        <v xml:space="preserve"> </v>
      </c>
      <c r="Q62" s="42" t="str">
        <f>_xlfn.XLOOKUP($C62,'IT Release 1 Analysis'!$C$2:$C$75,'IT Release 1 Analysis'!N$2:N$75," ")</f>
        <v xml:space="preserve"> </v>
      </c>
      <c r="R62" s="42" t="str">
        <f>_xlfn.XLOOKUP($C62,'IT Release 1 Analysis'!$C$2:$C$75,'IT Release 1 Analysis'!O$2:O$75," ")</f>
        <v xml:space="preserve"> </v>
      </c>
      <c r="S62" s="42" t="str">
        <f>_xlfn.XLOOKUP($C62,'IT Release 1 Analysis'!$C$2:$C$75,'IT Release 1 Analysis'!P$2:P$75," ")</f>
        <v xml:space="preserve"> </v>
      </c>
      <c r="T62" s="42" t="str">
        <f>_xlfn.XLOOKUP($C62,'IT Release 1 Analysis'!$C$2:$C$75,'IT Release 1 Analysis'!Q$2:Q$75," ")</f>
        <v xml:space="preserve"> </v>
      </c>
      <c r="U62" s="42" t="str">
        <f>_xlfn.XLOOKUP($C62,'IT Release 1 Analysis'!$C$2:$C$75,'IT Release 1 Analysis'!R$2:R$75," ")</f>
        <v xml:space="preserve"> </v>
      </c>
      <c r="V62" s="42" t="str">
        <f>_xlfn.XLOOKUP($C62,'IT Release 1 Analysis'!$C$2:$C$75,'IT Release 1 Analysis'!S$2:S$75," ")</f>
        <v xml:space="preserve"> </v>
      </c>
      <c r="W62" s="42" t="str">
        <f>_xlfn.XLOOKUP($C62,'IT Release 1 Analysis'!$C$2:$C$75,'IT Release 1 Analysis'!T$2:T$75," ")</f>
        <v xml:space="preserve"> </v>
      </c>
      <c r="X62" s="42" t="str">
        <f>_xlfn.XLOOKUP($C62,'IT Release 1 Analysis'!$C$2:$C$75,'IT Release 1 Analysis'!U$2:U$75," ")</f>
        <v xml:space="preserve"> </v>
      </c>
      <c r="Y62" s="42" t="str">
        <f>_xlfn.XLOOKUP($C62,'IT Release 1 Analysis'!$C$2:$C$75,'IT Release 1 Analysis'!V$2:V$75," ")</f>
        <v xml:space="preserve"> </v>
      </c>
      <c r="Z62" s="42" t="str">
        <f>_xlfn.XLOOKUP($C62,'IT Release 1 Analysis'!$C$2:$C$75,'IT Release 1 Analysis'!W$2:W$75," ")</f>
        <v xml:space="preserve"> </v>
      </c>
    </row>
    <row r="63" spans="1:26" ht="86.25" thickBot="1" x14ac:dyDescent="0.3">
      <c r="A63" s="10" t="s">
        <v>114</v>
      </c>
      <c r="B63" s="10" t="s">
        <v>172</v>
      </c>
      <c r="C63" s="10" t="s">
        <v>173</v>
      </c>
      <c r="D63" s="10" t="s">
        <v>174</v>
      </c>
      <c r="E63" s="10" t="s">
        <v>175</v>
      </c>
      <c r="F63" s="10" t="s">
        <v>176</v>
      </c>
      <c r="G63" s="10" t="s">
        <v>177</v>
      </c>
      <c r="H63" s="10" t="s">
        <v>45</v>
      </c>
      <c r="I63" s="10"/>
      <c r="J63" s="10"/>
      <c r="K63" s="10" t="s">
        <v>17</v>
      </c>
      <c r="L63" s="10" t="s">
        <v>776</v>
      </c>
      <c r="M63" s="41"/>
      <c r="N63" s="42"/>
      <c r="O63" s="42"/>
      <c r="P63" s="42"/>
      <c r="Q63" s="42"/>
      <c r="R63" s="42"/>
      <c r="S63" s="42"/>
      <c r="T63" s="42"/>
      <c r="U63" s="42"/>
      <c r="V63" s="42"/>
      <c r="W63" s="42"/>
      <c r="X63" s="42"/>
      <c r="Y63" s="42"/>
      <c r="Z63" s="42" t="str">
        <f>_xlfn.XLOOKUP($C63,'IT Release 1 Analysis'!$C$2:$C$75,'IT Release 1 Analysis'!W$2:W$75," ")</f>
        <v>x</v>
      </c>
    </row>
    <row r="64" spans="1:26" ht="86.25" thickBot="1" x14ac:dyDescent="0.3">
      <c r="A64" s="10" t="s">
        <v>114</v>
      </c>
      <c r="B64" s="10" t="s">
        <v>172</v>
      </c>
      <c r="C64" s="10" t="s">
        <v>178</v>
      </c>
      <c r="D64" s="10" t="s">
        <v>179</v>
      </c>
      <c r="E64" s="10" t="s">
        <v>105</v>
      </c>
      <c r="F64" s="10" t="s">
        <v>16</v>
      </c>
      <c r="G64" s="10" t="s">
        <v>17</v>
      </c>
      <c r="H64" s="10" t="s">
        <v>18</v>
      </c>
      <c r="I64" s="10"/>
      <c r="J64" s="10"/>
      <c r="K64" s="10" t="s">
        <v>17</v>
      </c>
      <c r="L64" s="10" t="s">
        <v>779</v>
      </c>
      <c r="M64" s="41"/>
      <c r="N64" s="42"/>
      <c r="O64" s="42"/>
      <c r="P64" s="42"/>
      <c r="Q64" s="42"/>
      <c r="R64" s="42"/>
      <c r="S64" s="42"/>
      <c r="T64" s="42"/>
      <c r="U64" s="42"/>
      <c r="V64" s="42"/>
      <c r="W64" s="42"/>
      <c r="X64" s="42"/>
      <c r="Y64" s="42" t="str">
        <f>_xlfn.XLOOKUP($C64,'IT Release 1 Analysis'!$C$2:$C$75,'IT Release 1 Analysis'!V$2:V$75," ")</f>
        <v>x</v>
      </c>
      <c r="Z64" s="42"/>
    </row>
    <row r="65" spans="1:26" ht="72" thickBot="1" x14ac:dyDescent="0.3">
      <c r="A65" s="10" t="s">
        <v>114</v>
      </c>
      <c r="B65" s="10" t="s">
        <v>172</v>
      </c>
      <c r="C65" s="10" t="s">
        <v>180</v>
      </c>
      <c r="D65" s="10" t="s">
        <v>181</v>
      </c>
      <c r="E65" s="10" t="s">
        <v>182</v>
      </c>
      <c r="F65" s="10" t="s">
        <v>125</v>
      </c>
      <c r="G65" s="10" t="s">
        <v>17</v>
      </c>
      <c r="H65" s="10" t="s">
        <v>45</v>
      </c>
      <c r="I65" s="10"/>
      <c r="J65" s="10"/>
      <c r="K65" s="10" t="s">
        <v>17</v>
      </c>
      <c r="L65" s="10" t="s">
        <v>783</v>
      </c>
      <c r="M65" s="41"/>
      <c r="N65" s="42" t="str">
        <f>_xlfn.XLOOKUP($C65,'IT Release 1 Analysis'!$C$2:$C$75,'IT Release 1 Analysis'!K$2:K$75," ")</f>
        <v xml:space="preserve"> </v>
      </c>
      <c r="O65" s="42" t="str">
        <f>_xlfn.XLOOKUP($C65,'IT Release 1 Analysis'!$C$2:$C$75,'IT Release 1 Analysis'!L$2:L$75," ")</f>
        <v xml:space="preserve"> </v>
      </c>
      <c r="P65" s="42" t="str">
        <f>_xlfn.XLOOKUP($C65,'IT Release 1 Analysis'!$C$2:$C$75,'IT Release 1 Analysis'!M$2:M$75," ")</f>
        <v xml:space="preserve"> </v>
      </c>
      <c r="Q65" s="42" t="str">
        <f>_xlfn.XLOOKUP($C65,'IT Release 1 Analysis'!$C$2:$C$75,'IT Release 1 Analysis'!N$2:N$75," ")</f>
        <v xml:space="preserve"> </v>
      </c>
      <c r="R65" s="42" t="str">
        <f>_xlfn.XLOOKUP($C65,'IT Release 1 Analysis'!$C$2:$C$75,'IT Release 1 Analysis'!O$2:O$75," ")</f>
        <v xml:space="preserve"> </v>
      </c>
      <c r="S65" s="42" t="str">
        <f>_xlfn.XLOOKUP($C65,'IT Release 1 Analysis'!$C$2:$C$75,'IT Release 1 Analysis'!P$2:P$75," ")</f>
        <v xml:space="preserve"> </v>
      </c>
      <c r="T65" s="42" t="str">
        <f>_xlfn.XLOOKUP($C65,'IT Release 1 Analysis'!$C$2:$C$75,'IT Release 1 Analysis'!Q$2:Q$75," ")</f>
        <v xml:space="preserve"> </v>
      </c>
      <c r="U65" s="42" t="str">
        <f>_xlfn.XLOOKUP($C65,'IT Release 1 Analysis'!$C$2:$C$75,'IT Release 1 Analysis'!R$2:R$75," ")</f>
        <v xml:space="preserve"> </v>
      </c>
      <c r="V65" s="42" t="str">
        <f>_xlfn.XLOOKUP($C65,'IT Release 1 Analysis'!$C$2:$C$75,'IT Release 1 Analysis'!S$2:S$75," ")</f>
        <v xml:space="preserve"> </v>
      </c>
      <c r="W65" s="42" t="str">
        <f>_xlfn.XLOOKUP($C65,'IT Release 1 Analysis'!$C$2:$C$75,'IT Release 1 Analysis'!T$2:T$75," ")</f>
        <v xml:space="preserve"> </v>
      </c>
      <c r="X65" s="42" t="str">
        <f>_xlfn.XLOOKUP($C65,'IT Release 1 Analysis'!$C$2:$C$75,'IT Release 1 Analysis'!U$2:U$75," ")</f>
        <v xml:space="preserve"> </v>
      </c>
      <c r="Y65" s="42" t="str">
        <f>_xlfn.XLOOKUP($C65,'IT Release 1 Analysis'!$C$2:$C$75,'IT Release 1 Analysis'!V$2:V$75," ")</f>
        <v xml:space="preserve"> </v>
      </c>
      <c r="Z65" s="42" t="str">
        <f>_xlfn.XLOOKUP($C65,'IT Release 1 Analysis'!$C$2:$C$75,'IT Release 1 Analysis'!W$2:W$75," ")</f>
        <v xml:space="preserve"> </v>
      </c>
    </row>
    <row r="66" spans="1:26" ht="72" thickBot="1" x14ac:dyDescent="0.3">
      <c r="A66" s="10" t="s">
        <v>114</v>
      </c>
      <c r="B66" s="10" t="s">
        <v>183</v>
      </c>
      <c r="C66" s="10" t="s">
        <v>184</v>
      </c>
      <c r="D66" s="10" t="s">
        <v>185</v>
      </c>
      <c r="E66" s="10" t="s">
        <v>186</v>
      </c>
      <c r="F66" s="10" t="s">
        <v>16</v>
      </c>
      <c r="G66" s="10" t="s">
        <v>17</v>
      </c>
      <c r="H66" s="10" t="s">
        <v>18</v>
      </c>
      <c r="I66" s="10"/>
      <c r="J66" s="10"/>
      <c r="K66" s="10" t="s">
        <v>746</v>
      </c>
      <c r="L66" s="10" t="s">
        <v>779</v>
      </c>
      <c r="M66" s="41"/>
      <c r="N66" s="42"/>
      <c r="O66" s="42"/>
      <c r="P66" s="42"/>
      <c r="Q66" s="42"/>
      <c r="R66" s="42"/>
      <c r="S66" s="42"/>
      <c r="T66" s="42"/>
      <c r="U66" s="42"/>
      <c r="V66" s="42" t="str">
        <f>_xlfn.XLOOKUP($C66,'IT Release 1 Analysis'!$C$2:$C$75,'IT Release 1 Analysis'!S$2:S$75," ")</f>
        <v>x</v>
      </c>
      <c r="W66" s="42"/>
      <c r="X66" s="42"/>
      <c r="Y66" s="42" t="str">
        <f>_xlfn.XLOOKUP($C66,'IT Release 1 Analysis'!$C$2:$C$75,'IT Release 1 Analysis'!V$2:V$75," ")</f>
        <v>x</v>
      </c>
      <c r="Z66" s="42"/>
    </row>
    <row r="67" spans="1:26" ht="86.25" thickBot="1" x14ac:dyDescent="0.3">
      <c r="A67" s="10" t="s">
        <v>187</v>
      </c>
      <c r="B67" s="10" t="s">
        <v>188</v>
      </c>
      <c r="C67" s="10" t="s">
        <v>189</v>
      </c>
      <c r="D67" s="10" t="s">
        <v>190</v>
      </c>
      <c r="E67" s="10" t="s">
        <v>191</v>
      </c>
      <c r="F67" s="10" t="s">
        <v>167</v>
      </c>
      <c r="G67" s="10" t="s">
        <v>192</v>
      </c>
      <c r="H67" s="10" t="s">
        <v>45</v>
      </c>
      <c r="I67" s="10"/>
      <c r="J67" s="10"/>
      <c r="K67" s="10" t="s">
        <v>17</v>
      </c>
      <c r="L67" s="10" t="s">
        <v>783</v>
      </c>
      <c r="M67" s="41"/>
      <c r="N67" s="42" t="str">
        <f>_xlfn.XLOOKUP($C67,'IT Release 1 Analysis'!$C$2:$C$75,'IT Release 1 Analysis'!K$2:K$75," ")</f>
        <v xml:space="preserve"> </v>
      </c>
      <c r="O67" s="42" t="str">
        <f>_xlfn.XLOOKUP($C67,'IT Release 1 Analysis'!$C$2:$C$75,'IT Release 1 Analysis'!L$2:L$75," ")</f>
        <v xml:space="preserve"> </v>
      </c>
      <c r="P67" s="42" t="str">
        <f>_xlfn.XLOOKUP($C67,'IT Release 1 Analysis'!$C$2:$C$75,'IT Release 1 Analysis'!M$2:M$75," ")</f>
        <v xml:space="preserve"> </v>
      </c>
      <c r="Q67" s="42" t="str">
        <f>_xlfn.XLOOKUP($C67,'IT Release 1 Analysis'!$C$2:$C$75,'IT Release 1 Analysis'!N$2:N$75," ")</f>
        <v xml:space="preserve"> </v>
      </c>
      <c r="R67" s="42" t="str">
        <f>_xlfn.XLOOKUP($C67,'IT Release 1 Analysis'!$C$2:$C$75,'IT Release 1 Analysis'!O$2:O$75," ")</f>
        <v xml:space="preserve"> </v>
      </c>
      <c r="S67" s="42" t="str">
        <f>_xlfn.XLOOKUP($C67,'IT Release 1 Analysis'!$C$2:$C$75,'IT Release 1 Analysis'!P$2:P$75," ")</f>
        <v xml:space="preserve"> </v>
      </c>
      <c r="T67" s="42" t="str">
        <f>_xlfn.XLOOKUP($C67,'IT Release 1 Analysis'!$C$2:$C$75,'IT Release 1 Analysis'!Q$2:Q$75," ")</f>
        <v xml:space="preserve"> </v>
      </c>
      <c r="U67" s="42" t="str">
        <f>_xlfn.XLOOKUP($C67,'IT Release 1 Analysis'!$C$2:$C$75,'IT Release 1 Analysis'!R$2:R$75," ")</f>
        <v xml:space="preserve"> </v>
      </c>
      <c r="V67" s="42" t="str">
        <f>_xlfn.XLOOKUP($C67,'IT Release 1 Analysis'!$C$2:$C$75,'IT Release 1 Analysis'!S$2:S$75," ")</f>
        <v xml:space="preserve"> </v>
      </c>
      <c r="W67" s="42" t="str">
        <f>_xlfn.XLOOKUP($C67,'IT Release 1 Analysis'!$C$2:$C$75,'IT Release 1 Analysis'!T$2:T$75," ")</f>
        <v xml:space="preserve"> </v>
      </c>
      <c r="X67" s="42" t="str">
        <f>_xlfn.XLOOKUP($C67,'IT Release 1 Analysis'!$C$2:$C$75,'IT Release 1 Analysis'!U$2:U$75," ")</f>
        <v xml:space="preserve"> </v>
      </c>
      <c r="Y67" s="42" t="str">
        <f>_xlfn.XLOOKUP($C67,'IT Release 1 Analysis'!$C$2:$C$75,'IT Release 1 Analysis'!V$2:V$75," ")</f>
        <v xml:space="preserve"> </v>
      </c>
      <c r="Z67" s="42" t="str">
        <f>_xlfn.XLOOKUP($C67,'IT Release 1 Analysis'!$C$2:$C$75,'IT Release 1 Analysis'!W$2:W$75," ")</f>
        <v xml:space="preserve"> </v>
      </c>
    </row>
    <row r="68" spans="1:26" ht="72" thickBot="1" x14ac:dyDescent="0.3">
      <c r="A68" s="10" t="s">
        <v>187</v>
      </c>
      <c r="B68" s="10" t="s">
        <v>188</v>
      </c>
      <c r="C68" s="10" t="s">
        <v>193</v>
      </c>
      <c r="D68" s="10" t="s">
        <v>194</v>
      </c>
      <c r="E68" s="10" t="s">
        <v>195</v>
      </c>
      <c r="F68" s="10" t="s">
        <v>37</v>
      </c>
      <c r="G68" s="10" t="s">
        <v>17</v>
      </c>
      <c r="H68" s="10" t="s">
        <v>18</v>
      </c>
      <c r="I68" s="10"/>
      <c r="J68" s="10"/>
      <c r="K68" s="10" t="s">
        <v>17</v>
      </c>
      <c r="L68" s="10" t="s">
        <v>783</v>
      </c>
      <c r="M68" s="41"/>
      <c r="N68" s="42" t="str">
        <f>_xlfn.XLOOKUP($C68,'IT Release 1 Analysis'!$C$2:$C$75,'IT Release 1 Analysis'!K$2:K$75," ")</f>
        <v xml:space="preserve"> </v>
      </c>
      <c r="O68" s="42" t="str">
        <f>_xlfn.XLOOKUP($C68,'IT Release 1 Analysis'!$C$2:$C$75,'IT Release 1 Analysis'!L$2:L$75," ")</f>
        <v xml:space="preserve"> </v>
      </c>
      <c r="P68" s="42" t="str">
        <f>_xlfn.XLOOKUP($C68,'IT Release 1 Analysis'!$C$2:$C$75,'IT Release 1 Analysis'!M$2:M$75," ")</f>
        <v xml:space="preserve"> </v>
      </c>
      <c r="Q68" s="42" t="str">
        <f>_xlfn.XLOOKUP($C68,'IT Release 1 Analysis'!$C$2:$C$75,'IT Release 1 Analysis'!N$2:N$75," ")</f>
        <v xml:space="preserve"> </v>
      </c>
      <c r="R68" s="42" t="str">
        <f>_xlfn.XLOOKUP($C68,'IT Release 1 Analysis'!$C$2:$C$75,'IT Release 1 Analysis'!O$2:O$75," ")</f>
        <v xml:space="preserve"> </v>
      </c>
      <c r="S68" s="42" t="str">
        <f>_xlfn.XLOOKUP($C68,'IT Release 1 Analysis'!$C$2:$C$75,'IT Release 1 Analysis'!P$2:P$75," ")</f>
        <v xml:space="preserve"> </v>
      </c>
      <c r="T68" s="42" t="str">
        <f>_xlfn.XLOOKUP($C68,'IT Release 1 Analysis'!$C$2:$C$75,'IT Release 1 Analysis'!Q$2:Q$75," ")</f>
        <v xml:space="preserve"> </v>
      </c>
      <c r="U68" s="42" t="str">
        <f>_xlfn.XLOOKUP($C68,'IT Release 1 Analysis'!$C$2:$C$75,'IT Release 1 Analysis'!R$2:R$75," ")</f>
        <v xml:space="preserve"> </v>
      </c>
      <c r="V68" s="42" t="str">
        <f>_xlfn.XLOOKUP($C68,'IT Release 1 Analysis'!$C$2:$C$75,'IT Release 1 Analysis'!S$2:S$75," ")</f>
        <v xml:space="preserve"> </v>
      </c>
      <c r="W68" s="42" t="str">
        <f>_xlfn.XLOOKUP($C68,'IT Release 1 Analysis'!$C$2:$C$75,'IT Release 1 Analysis'!T$2:T$75," ")</f>
        <v xml:space="preserve"> </v>
      </c>
      <c r="X68" s="42" t="str">
        <f>_xlfn.XLOOKUP($C68,'IT Release 1 Analysis'!$C$2:$C$75,'IT Release 1 Analysis'!U$2:U$75," ")</f>
        <v xml:space="preserve"> </v>
      </c>
      <c r="Y68" s="42" t="str">
        <f>_xlfn.XLOOKUP($C68,'IT Release 1 Analysis'!$C$2:$C$75,'IT Release 1 Analysis'!V$2:V$75," ")</f>
        <v xml:space="preserve"> </v>
      </c>
      <c r="Z68" s="42" t="str">
        <f>_xlfn.XLOOKUP($C68,'IT Release 1 Analysis'!$C$2:$C$75,'IT Release 1 Analysis'!W$2:W$75," ")</f>
        <v xml:space="preserve"> </v>
      </c>
    </row>
    <row r="69" spans="1:26" ht="72" thickBot="1" x14ac:dyDescent="0.3">
      <c r="A69" s="10" t="s">
        <v>187</v>
      </c>
      <c r="B69" s="10" t="s">
        <v>196</v>
      </c>
      <c r="C69" s="10" t="s">
        <v>197</v>
      </c>
      <c r="D69" s="10" t="s">
        <v>198</v>
      </c>
      <c r="E69" s="10" t="s">
        <v>199</v>
      </c>
      <c r="F69" s="10" t="s">
        <v>37</v>
      </c>
      <c r="G69" s="10" t="s">
        <v>17</v>
      </c>
      <c r="H69" s="10" t="s">
        <v>21</v>
      </c>
      <c r="I69" s="10"/>
      <c r="J69" s="10"/>
      <c r="K69" s="10" t="s">
        <v>17</v>
      </c>
      <c r="L69" s="10" t="s">
        <v>783</v>
      </c>
      <c r="M69" s="41"/>
      <c r="N69" s="42" t="str">
        <f>_xlfn.XLOOKUP($C69,'IT Release 1 Analysis'!$C$2:$C$75,'IT Release 1 Analysis'!K$2:K$75," ")</f>
        <v xml:space="preserve"> </v>
      </c>
      <c r="O69" s="42" t="str">
        <f>_xlfn.XLOOKUP($C69,'IT Release 1 Analysis'!$C$2:$C$75,'IT Release 1 Analysis'!L$2:L$75," ")</f>
        <v xml:space="preserve"> </v>
      </c>
      <c r="P69" s="42" t="str">
        <f>_xlfn.XLOOKUP($C69,'IT Release 1 Analysis'!$C$2:$C$75,'IT Release 1 Analysis'!M$2:M$75," ")</f>
        <v xml:space="preserve"> </v>
      </c>
      <c r="Q69" s="42" t="str">
        <f>_xlfn.XLOOKUP($C69,'IT Release 1 Analysis'!$C$2:$C$75,'IT Release 1 Analysis'!N$2:N$75," ")</f>
        <v xml:space="preserve"> </v>
      </c>
      <c r="R69" s="42" t="str">
        <f>_xlfn.XLOOKUP($C69,'IT Release 1 Analysis'!$C$2:$C$75,'IT Release 1 Analysis'!O$2:O$75," ")</f>
        <v xml:space="preserve"> </v>
      </c>
      <c r="S69" s="42" t="str">
        <f>_xlfn.XLOOKUP($C69,'IT Release 1 Analysis'!$C$2:$C$75,'IT Release 1 Analysis'!P$2:P$75," ")</f>
        <v xml:space="preserve"> </v>
      </c>
      <c r="T69" s="42" t="str">
        <f>_xlfn.XLOOKUP($C69,'IT Release 1 Analysis'!$C$2:$C$75,'IT Release 1 Analysis'!Q$2:Q$75," ")</f>
        <v xml:space="preserve"> </v>
      </c>
      <c r="U69" s="42" t="str">
        <f>_xlfn.XLOOKUP($C69,'IT Release 1 Analysis'!$C$2:$C$75,'IT Release 1 Analysis'!R$2:R$75," ")</f>
        <v xml:space="preserve"> </v>
      </c>
      <c r="V69" s="42" t="str">
        <f>_xlfn.XLOOKUP($C69,'IT Release 1 Analysis'!$C$2:$C$75,'IT Release 1 Analysis'!S$2:S$75," ")</f>
        <v xml:space="preserve"> </v>
      </c>
      <c r="W69" s="42" t="str">
        <f>_xlfn.XLOOKUP($C69,'IT Release 1 Analysis'!$C$2:$C$75,'IT Release 1 Analysis'!T$2:T$75," ")</f>
        <v xml:space="preserve"> </v>
      </c>
      <c r="X69" s="42" t="str">
        <f>_xlfn.XLOOKUP($C69,'IT Release 1 Analysis'!$C$2:$C$75,'IT Release 1 Analysis'!U$2:U$75," ")</f>
        <v xml:space="preserve"> </v>
      </c>
      <c r="Y69" s="42" t="str">
        <f>_xlfn.XLOOKUP($C69,'IT Release 1 Analysis'!$C$2:$C$75,'IT Release 1 Analysis'!V$2:V$75," ")</f>
        <v xml:space="preserve"> </v>
      </c>
      <c r="Z69" s="42" t="str">
        <f>_xlfn.XLOOKUP($C69,'IT Release 1 Analysis'!$C$2:$C$75,'IT Release 1 Analysis'!W$2:W$75," ")</f>
        <v xml:space="preserve"> </v>
      </c>
    </row>
    <row r="70" spans="1:26" ht="57.75" thickBot="1" x14ac:dyDescent="0.3">
      <c r="A70" s="10" t="s">
        <v>187</v>
      </c>
      <c r="B70" s="10" t="s">
        <v>200</v>
      </c>
      <c r="C70" s="10" t="s">
        <v>201</v>
      </c>
      <c r="D70" s="10" t="s">
        <v>202</v>
      </c>
      <c r="E70" s="10" t="s">
        <v>203</v>
      </c>
      <c r="F70" s="10" t="s">
        <v>125</v>
      </c>
      <c r="G70" s="10" t="s">
        <v>17</v>
      </c>
      <c r="H70" s="10" t="s">
        <v>45</v>
      </c>
      <c r="I70" s="10"/>
      <c r="J70" s="10"/>
      <c r="K70" s="10" t="s">
        <v>17</v>
      </c>
      <c r="L70" s="10" t="s">
        <v>783</v>
      </c>
      <c r="M70" s="41"/>
      <c r="N70" s="42" t="str">
        <f>_xlfn.XLOOKUP($C70,'IT Release 1 Analysis'!$C$2:$C$75,'IT Release 1 Analysis'!K$2:K$75," ")</f>
        <v xml:space="preserve"> </v>
      </c>
      <c r="O70" s="42" t="str">
        <f>_xlfn.XLOOKUP($C70,'IT Release 1 Analysis'!$C$2:$C$75,'IT Release 1 Analysis'!L$2:L$75," ")</f>
        <v xml:space="preserve"> </v>
      </c>
      <c r="P70" s="42" t="str">
        <f>_xlfn.XLOOKUP($C70,'IT Release 1 Analysis'!$C$2:$C$75,'IT Release 1 Analysis'!M$2:M$75," ")</f>
        <v xml:space="preserve"> </v>
      </c>
      <c r="Q70" s="42" t="str">
        <f>_xlfn.XLOOKUP($C70,'IT Release 1 Analysis'!$C$2:$C$75,'IT Release 1 Analysis'!N$2:N$75," ")</f>
        <v xml:space="preserve"> </v>
      </c>
      <c r="R70" s="42" t="str">
        <f>_xlfn.XLOOKUP($C70,'IT Release 1 Analysis'!$C$2:$C$75,'IT Release 1 Analysis'!O$2:O$75," ")</f>
        <v xml:space="preserve"> </v>
      </c>
      <c r="S70" s="42" t="str">
        <f>_xlfn.XLOOKUP($C70,'IT Release 1 Analysis'!$C$2:$C$75,'IT Release 1 Analysis'!P$2:P$75," ")</f>
        <v xml:space="preserve"> </v>
      </c>
      <c r="T70" s="42" t="str">
        <f>_xlfn.XLOOKUP($C70,'IT Release 1 Analysis'!$C$2:$C$75,'IT Release 1 Analysis'!Q$2:Q$75," ")</f>
        <v xml:space="preserve"> </v>
      </c>
      <c r="U70" s="42" t="str">
        <f>_xlfn.XLOOKUP($C70,'IT Release 1 Analysis'!$C$2:$C$75,'IT Release 1 Analysis'!R$2:R$75," ")</f>
        <v xml:space="preserve"> </v>
      </c>
      <c r="V70" s="42" t="str">
        <f>_xlfn.XLOOKUP($C70,'IT Release 1 Analysis'!$C$2:$C$75,'IT Release 1 Analysis'!S$2:S$75," ")</f>
        <v xml:space="preserve"> </v>
      </c>
      <c r="W70" s="42" t="str">
        <f>_xlfn.XLOOKUP($C70,'IT Release 1 Analysis'!$C$2:$C$75,'IT Release 1 Analysis'!T$2:T$75," ")</f>
        <v xml:space="preserve"> </v>
      </c>
      <c r="X70" s="42" t="str">
        <f>_xlfn.XLOOKUP($C70,'IT Release 1 Analysis'!$C$2:$C$75,'IT Release 1 Analysis'!U$2:U$75," ")</f>
        <v xml:space="preserve"> </v>
      </c>
      <c r="Y70" s="42" t="str">
        <f>_xlfn.XLOOKUP($C70,'IT Release 1 Analysis'!$C$2:$C$75,'IT Release 1 Analysis'!V$2:V$75," ")</f>
        <v xml:space="preserve"> </v>
      </c>
      <c r="Z70" s="42" t="str">
        <f>_xlfn.XLOOKUP($C70,'IT Release 1 Analysis'!$C$2:$C$75,'IT Release 1 Analysis'!W$2:W$75," ")</f>
        <v xml:space="preserve"> </v>
      </c>
    </row>
    <row r="71" spans="1:26" ht="43.5" thickBot="1" x14ac:dyDescent="0.3">
      <c r="A71" s="10" t="s">
        <v>187</v>
      </c>
      <c r="B71" s="10" t="s">
        <v>200</v>
      </c>
      <c r="C71" s="10" t="s">
        <v>204</v>
      </c>
      <c r="D71" s="10" t="s">
        <v>205</v>
      </c>
      <c r="E71" s="10" t="s">
        <v>203</v>
      </c>
      <c r="F71" s="10" t="s">
        <v>125</v>
      </c>
      <c r="G71" s="10" t="s">
        <v>17</v>
      </c>
      <c r="H71" s="10" t="s">
        <v>45</v>
      </c>
      <c r="I71" s="10"/>
      <c r="J71" s="10"/>
      <c r="K71" s="10" t="s">
        <v>17</v>
      </c>
      <c r="L71" s="10" t="s">
        <v>783</v>
      </c>
      <c r="M71" s="41"/>
      <c r="N71" s="42" t="str">
        <f>_xlfn.XLOOKUP($C71,'IT Release 1 Analysis'!$C$2:$C$75,'IT Release 1 Analysis'!K$2:K$75," ")</f>
        <v xml:space="preserve"> </v>
      </c>
      <c r="O71" s="42" t="str">
        <f>_xlfn.XLOOKUP($C71,'IT Release 1 Analysis'!$C$2:$C$75,'IT Release 1 Analysis'!L$2:L$75," ")</f>
        <v xml:space="preserve"> </v>
      </c>
      <c r="P71" s="42" t="str">
        <f>_xlfn.XLOOKUP($C71,'IT Release 1 Analysis'!$C$2:$C$75,'IT Release 1 Analysis'!M$2:M$75," ")</f>
        <v xml:space="preserve"> </v>
      </c>
      <c r="Q71" s="42" t="str">
        <f>_xlfn.XLOOKUP($C71,'IT Release 1 Analysis'!$C$2:$C$75,'IT Release 1 Analysis'!N$2:N$75," ")</f>
        <v xml:space="preserve"> </v>
      </c>
      <c r="R71" s="42" t="str">
        <f>_xlfn.XLOOKUP($C71,'IT Release 1 Analysis'!$C$2:$C$75,'IT Release 1 Analysis'!O$2:O$75," ")</f>
        <v xml:space="preserve"> </v>
      </c>
      <c r="S71" s="42" t="str">
        <f>_xlfn.XLOOKUP($C71,'IT Release 1 Analysis'!$C$2:$C$75,'IT Release 1 Analysis'!P$2:P$75," ")</f>
        <v xml:space="preserve"> </v>
      </c>
      <c r="T71" s="42" t="str">
        <f>_xlfn.XLOOKUP($C71,'IT Release 1 Analysis'!$C$2:$C$75,'IT Release 1 Analysis'!Q$2:Q$75," ")</f>
        <v xml:space="preserve"> </v>
      </c>
      <c r="U71" s="42" t="str">
        <f>_xlfn.XLOOKUP($C71,'IT Release 1 Analysis'!$C$2:$C$75,'IT Release 1 Analysis'!R$2:R$75," ")</f>
        <v xml:space="preserve"> </v>
      </c>
      <c r="V71" s="42" t="str">
        <f>_xlfn.XLOOKUP($C71,'IT Release 1 Analysis'!$C$2:$C$75,'IT Release 1 Analysis'!S$2:S$75," ")</f>
        <v xml:space="preserve"> </v>
      </c>
      <c r="W71" s="42" t="str">
        <f>_xlfn.XLOOKUP($C71,'IT Release 1 Analysis'!$C$2:$C$75,'IT Release 1 Analysis'!T$2:T$75," ")</f>
        <v xml:space="preserve"> </v>
      </c>
      <c r="X71" s="42" t="str">
        <f>_xlfn.XLOOKUP($C71,'IT Release 1 Analysis'!$C$2:$C$75,'IT Release 1 Analysis'!U$2:U$75," ")</f>
        <v xml:space="preserve"> </v>
      </c>
      <c r="Y71" s="42" t="str">
        <f>_xlfn.XLOOKUP($C71,'IT Release 1 Analysis'!$C$2:$C$75,'IT Release 1 Analysis'!V$2:V$75," ")</f>
        <v xml:space="preserve"> </v>
      </c>
      <c r="Z71" s="42" t="str">
        <f>_xlfn.XLOOKUP($C71,'IT Release 1 Analysis'!$C$2:$C$75,'IT Release 1 Analysis'!W$2:W$75," ")</f>
        <v xml:space="preserve"> </v>
      </c>
    </row>
    <row r="72" spans="1:26" ht="43.5" thickBot="1" x14ac:dyDescent="0.3">
      <c r="A72" s="10" t="s">
        <v>187</v>
      </c>
      <c r="B72" s="10" t="s">
        <v>200</v>
      </c>
      <c r="C72" s="10" t="s">
        <v>206</v>
      </c>
      <c r="D72" s="10" t="s">
        <v>207</v>
      </c>
      <c r="E72" s="10" t="s">
        <v>203</v>
      </c>
      <c r="F72" s="10" t="s">
        <v>125</v>
      </c>
      <c r="G72" s="10" t="s">
        <v>17</v>
      </c>
      <c r="H72" s="10" t="s">
        <v>45</v>
      </c>
      <c r="I72" s="10"/>
      <c r="J72" s="10"/>
      <c r="K72" s="10" t="s">
        <v>17</v>
      </c>
      <c r="L72" s="10" t="s">
        <v>783</v>
      </c>
      <c r="M72" s="41"/>
      <c r="N72" s="42" t="str">
        <f>_xlfn.XLOOKUP($C72,'IT Release 1 Analysis'!$C$2:$C$75,'IT Release 1 Analysis'!K$2:K$75," ")</f>
        <v xml:space="preserve"> </v>
      </c>
      <c r="O72" s="42" t="str">
        <f>_xlfn.XLOOKUP($C72,'IT Release 1 Analysis'!$C$2:$C$75,'IT Release 1 Analysis'!L$2:L$75," ")</f>
        <v xml:space="preserve"> </v>
      </c>
      <c r="P72" s="42" t="str">
        <f>_xlfn.XLOOKUP($C72,'IT Release 1 Analysis'!$C$2:$C$75,'IT Release 1 Analysis'!M$2:M$75," ")</f>
        <v xml:space="preserve"> </v>
      </c>
      <c r="Q72" s="42" t="str">
        <f>_xlfn.XLOOKUP($C72,'IT Release 1 Analysis'!$C$2:$C$75,'IT Release 1 Analysis'!N$2:N$75," ")</f>
        <v xml:space="preserve"> </v>
      </c>
      <c r="R72" s="42" t="str">
        <f>_xlfn.XLOOKUP($C72,'IT Release 1 Analysis'!$C$2:$C$75,'IT Release 1 Analysis'!O$2:O$75," ")</f>
        <v xml:space="preserve"> </v>
      </c>
      <c r="S72" s="42" t="str">
        <f>_xlfn.XLOOKUP($C72,'IT Release 1 Analysis'!$C$2:$C$75,'IT Release 1 Analysis'!P$2:P$75," ")</f>
        <v xml:space="preserve"> </v>
      </c>
      <c r="T72" s="42" t="str">
        <f>_xlfn.XLOOKUP($C72,'IT Release 1 Analysis'!$C$2:$C$75,'IT Release 1 Analysis'!Q$2:Q$75," ")</f>
        <v xml:space="preserve"> </v>
      </c>
      <c r="U72" s="42" t="str">
        <f>_xlfn.XLOOKUP($C72,'IT Release 1 Analysis'!$C$2:$C$75,'IT Release 1 Analysis'!R$2:R$75," ")</f>
        <v xml:space="preserve"> </v>
      </c>
      <c r="V72" s="42" t="str">
        <f>_xlfn.XLOOKUP($C72,'IT Release 1 Analysis'!$C$2:$C$75,'IT Release 1 Analysis'!S$2:S$75," ")</f>
        <v xml:space="preserve"> </v>
      </c>
      <c r="W72" s="42" t="str">
        <f>_xlfn.XLOOKUP($C72,'IT Release 1 Analysis'!$C$2:$C$75,'IT Release 1 Analysis'!T$2:T$75," ")</f>
        <v xml:space="preserve"> </v>
      </c>
      <c r="X72" s="42" t="str">
        <f>_xlfn.XLOOKUP($C72,'IT Release 1 Analysis'!$C$2:$C$75,'IT Release 1 Analysis'!U$2:U$75," ")</f>
        <v xml:space="preserve"> </v>
      </c>
      <c r="Y72" s="42" t="str">
        <f>_xlfn.XLOOKUP($C72,'IT Release 1 Analysis'!$C$2:$C$75,'IT Release 1 Analysis'!V$2:V$75," ")</f>
        <v xml:space="preserve"> </v>
      </c>
      <c r="Z72" s="42" t="str">
        <f>_xlfn.XLOOKUP($C72,'IT Release 1 Analysis'!$C$2:$C$75,'IT Release 1 Analysis'!W$2:W$75," ")</f>
        <v xml:space="preserve"> </v>
      </c>
    </row>
    <row r="73" spans="1:26" ht="57.75" thickBot="1" x14ac:dyDescent="0.3">
      <c r="A73" s="10" t="s">
        <v>187</v>
      </c>
      <c r="B73" s="10" t="s">
        <v>200</v>
      </c>
      <c r="C73" s="10" t="s">
        <v>208</v>
      </c>
      <c r="D73" s="10" t="s">
        <v>209</v>
      </c>
      <c r="E73" s="10" t="s">
        <v>210</v>
      </c>
      <c r="F73" s="10" t="s">
        <v>125</v>
      </c>
      <c r="G73" s="10" t="s">
        <v>17</v>
      </c>
      <c r="H73" s="10" t="s">
        <v>45</v>
      </c>
      <c r="I73" s="10"/>
      <c r="J73" s="10"/>
      <c r="K73" s="10" t="s">
        <v>17</v>
      </c>
      <c r="L73" s="10" t="s">
        <v>783</v>
      </c>
      <c r="M73" s="41"/>
      <c r="N73" s="42" t="str">
        <f>_xlfn.XLOOKUP($C73,'IT Release 1 Analysis'!$C$2:$C$75,'IT Release 1 Analysis'!K$2:K$75," ")</f>
        <v xml:space="preserve"> </v>
      </c>
      <c r="O73" s="42" t="str">
        <f>_xlfn.XLOOKUP($C73,'IT Release 1 Analysis'!$C$2:$C$75,'IT Release 1 Analysis'!L$2:L$75," ")</f>
        <v xml:space="preserve"> </v>
      </c>
      <c r="P73" s="42" t="str">
        <f>_xlfn.XLOOKUP($C73,'IT Release 1 Analysis'!$C$2:$C$75,'IT Release 1 Analysis'!M$2:M$75," ")</f>
        <v xml:space="preserve"> </v>
      </c>
      <c r="Q73" s="42" t="str">
        <f>_xlfn.XLOOKUP($C73,'IT Release 1 Analysis'!$C$2:$C$75,'IT Release 1 Analysis'!N$2:N$75," ")</f>
        <v xml:space="preserve"> </v>
      </c>
      <c r="R73" s="42" t="str">
        <f>_xlfn.XLOOKUP($C73,'IT Release 1 Analysis'!$C$2:$C$75,'IT Release 1 Analysis'!O$2:O$75," ")</f>
        <v xml:space="preserve"> </v>
      </c>
      <c r="S73" s="42" t="str">
        <f>_xlfn.XLOOKUP($C73,'IT Release 1 Analysis'!$C$2:$C$75,'IT Release 1 Analysis'!P$2:P$75," ")</f>
        <v xml:space="preserve"> </v>
      </c>
      <c r="T73" s="42" t="str">
        <f>_xlfn.XLOOKUP($C73,'IT Release 1 Analysis'!$C$2:$C$75,'IT Release 1 Analysis'!Q$2:Q$75," ")</f>
        <v xml:space="preserve"> </v>
      </c>
      <c r="U73" s="42" t="str">
        <f>_xlfn.XLOOKUP($C73,'IT Release 1 Analysis'!$C$2:$C$75,'IT Release 1 Analysis'!R$2:R$75," ")</f>
        <v xml:space="preserve"> </v>
      </c>
      <c r="V73" s="42" t="str">
        <f>_xlfn.XLOOKUP($C73,'IT Release 1 Analysis'!$C$2:$C$75,'IT Release 1 Analysis'!S$2:S$75," ")</f>
        <v xml:space="preserve"> </v>
      </c>
      <c r="W73" s="42" t="str">
        <f>_xlfn.XLOOKUP($C73,'IT Release 1 Analysis'!$C$2:$C$75,'IT Release 1 Analysis'!T$2:T$75," ")</f>
        <v xml:space="preserve"> </v>
      </c>
      <c r="X73" s="42" t="str">
        <f>_xlfn.XLOOKUP($C73,'IT Release 1 Analysis'!$C$2:$C$75,'IT Release 1 Analysis'!U$2:U$75," ")</f>
        <v xml:space="preserve"> </v>
      </c>
      <c r="Y73" s="42" t="str">
        <f>_xlfn.XLOOKUP($C73,'IT Release 1 Analysis'!$C$2:$C$75,'IT Release 1 Analysis'!V$2:V$75," ")</f>
        <v xml:space="preserve"> </v>
      </c>
      <c r="Z73" s="42" t="str">
        <f>_xlfn.XLOOKUP($C73,'IT Release 1 Analysis'!$C$2:$C$75,'IT Release 1 Analysis'!W$2:W$75," ")</f>
        <v xml:space="preserve"> </v>
      </c>
    </row>
    <row r="74" spans="1:26" ht="57.75" thickBot="1" x14ac:dyDescent="0.3">
      <c r="A74" s="10" t="s">
        <v>187</v>
      </c>
      <c r="B74" s="10" t="s">
        <v>200</v>
      </c>
      <c r="C74" s="10" t="s">
        <v>211</v>
      </c>
      <c r="D74" s="10" t="s">
        <v>212</v>
      </c>
      <c r="E74" s="10" t="s">
        <v>213</v>
      </c>
      <c r="F74" s="10" t="s">
        <v>37</v>
      </c>
      <c r="G74" s="10" t="s">
        <v>17</v>
      </c>
      <c r="H74" s="10" t="s">
        <v>18</v>
      </c>
      <c r="I74" s="10"/>
      <c r="J74" s="10"/>
      <c r="K74" s="10" t="s">
        <v>17</v>
      </c>
      <c r="L74" s="10" t="s">
        <v>783</v>
      </c>
      <c r="M74" s="41"/>
      <c r="N74" s="42" t="str">
        <f>_xlfn.XLOOKUP($C74,'IT Release 1 Analysis'!$C$2:$C$75,'IT Release 1 Analysis'!K$2:K$75," ")</f>
        <v xml:space="preserve"> </v>
      </c>
      <c r="O74" s="42" t="str">
        <f>_xlfn.XLOOKUP($C74,'IT Release 1 Analysis'!$C$2:$C$75,'IT Release 1 Analysis'!L$2:L$75," ")</f>
        <v xml:space="preserve"> </v>
      </c>
      <c r="P74" s="42" t="str">
        <f>_xlfn.XLOOKUP($C74,'IT Release 1 Analysis'!$C$2:$C$75,'IT Release 1 Analysis'!M$2:M$75," ")</f>
        <v xml:space="preserve"> </v>
      </c>
      <c r="Q74" s="42" t="str">
        <f>_xlfn.XLOOKUP($C74,'IT Release 1 Analysis'!$C$2:$C$75,'IT Release 1 Analysis'!N$2:N$75," ")</f>
        <v xml:space="preserve"> </v>
      </c>
      <c r="R74" s="42" t="str">
        <f>_xlfn.XLOOKUP($C74,'IT Release 1 Analysis'!$C$2:$C$75,'IT Release 1 Analysis'!O$2:O$75," ")</f>
        <v xml:space="preserve"> </v>
      </c>
      <c r="S74" s="42" t="str">
        <f>_xlfn.XLOOKUP($C74,'IT Release 1 Analysis'!$C$2:$C$75,'IT Release 1 Analysis'!P$2:P$75," ")</f>
        <v xml:space="preserve"> </v>
      </c>
      <c r="T74" s="42" t="str">
        <f>_xlfn.XLOOKUP($C74,'IT Release 1 Analysis'!$C$2:$C$75,'IT Release 1 Analysis'!Q$2:Q$75," ")</f>
        <v xml:space="preserve"> </v>
      </c>
      <c r="U74" s="42" t="str">
        <f>_xlfn.XLOOKUP($C74,'IT Release 1 Analysis'!$C$2:$C$75,'IT Release 1 Analysis'!R$2:R$75," ")</f>
        <v xml:space="preserve"> </v>
      </c>
      <c r="V74" s="42" t="str">
        <f>_xlfn.XLOOKUP($C74,'IT Release 1 Analysis'!$C$2:$C$75,'IT Release 1 Analysis'!S$2:S$75," ")</f>
        <v xml:space="preserve"> </v>
      </c>
      <c r="W74" s="42" t="str">
        <f>_xlfn.XLOOKUP($C74,'IT Release 1 Analysis'!$C$2:$C$75,'IT Release 1 Analysis'!T$2:T$75," ")</f>
        <v xml:space="preserve"> </v>
      </c>
      <c r="X74" s="42" t="str">
        <f>_xlfn.XLOOKUP($C74,'IT Release 1 Analysis'!$C$2:$C$75,'IT Release 1 Analysis'!U$2:U$75," ")</f>
        <v xml:space="preserve"> </v>
      </c>
      <c r="Y74" s="42" t="str">
        <f>_xlfn.XLOOKUP($C74,'IT Release 1 Analysis'!$C$2:$C$75,'IT Release 1 Analysis'!V$2:V$75," ")</f>
        <v xml:space="preserve"> </v>
      </c>
      <c r="Z74" s="42" t="str">
        <f>_xlfn.XLOOKUP($C74,'IT Release 1 Analysis'!$C$2:$C$75,'IT Release 1 Analysis'!W$2:W$75," ")</f>
        <v xml:space="preserve"> </v>
      </c>
    </row>
    <row r="75" spans="1:26" ht="72" thickBot="1" x14ac:dyDescent="0.3">
      <c r="A75" s="10" t="s">
        <v>187</v>
      </c>
      <c r="B75" s="10" t="s">
        <v>214</v>
      </c>
      <c r="C75" s="10" t="s">
        <v>215</v>
      </c>
      <c r="D75" s="10" t="s">
        <v>216</v>
      </c>
      <c r="E75" s="10" t="s">
        <v>82</v>
      </c>
      <c r="F75" s="10" t="s">
        <v>71</v>
      </c>
      <c r="G75" s="10" t="s">
        <v>217</v>
      </c>
      <c r="H75" s="10" t="s">
        <v>45</v>
      </c>
      <c r="I75" s="10"/>
      <c r="J75" s="10"/>
      <c r="K75" s="10" t="s">
        <v>17</v>
      </c>
      <c r="L75" s="10" t="s">
        <v>779</v>
      </c>
      <c r="M75" s="41"/>
      <c r="N75" s="42"/>
      <c r="O75" s="42"/>
      <c r="P75" s="42"/>
      <c r="Q75" s="42"/>
      <c r="R75" s="42"/>
      <c r="S75" s="42"/>
      <c r="T75" s="42"/>
      <c r="U75" s="42"/>
      <c r="V75" s="42"/>
      <c r="W75" s="42"/>
      <c r="X75" s="42"/>
      <c r="Y75" s="42" t="str">
        <f>_xlfn.XLOOKUP($C75,'IT Release 1 Analysis'!$C$2:$C$75,'IT Release 1 Analysis'!V$2:V$75," ")</f>
        <v>x</v>
      </c>
      <c r="Z75" s="42"/>
    </row>
    <row r="76" spans="1:26" ht="57.75" thickBot="1" x14ac:dyDescent="0.3">
      <c r="A76" s="10" t="s">
        <v>187</v>
      </c>
      <c r="B76" s="10" t="s">
        <v>214</v>
      </c>
      <c r="C76" s="10" t="s">
        <v>218</v>
      </c>
      <c r="D76" s="10" t="s">
        <v>219</v>
      </c>
      <c r="E76" s="10" t="s">
        <v>220</v>
      </c>
      <c r="F76" s="10" t="s">
        <v>125</v>
      </c>
      <c r="G76" s="10" t="s">
        <v>17</v>
      </c>
      <c r="H76" s="10" t="s">
        <v>45</v>
      </c>
      <c r="I76" s="10"/>
      <c r="J76" s="10"/>
      <c r="K76" s="10" t="s">
        <v>17</v>
      </c>
      <c r="L76" s="10" t="s">
        <v>783</v>
      </c>
      <c r="M76" s="41"/>
      <c r="N76" s="42" t="str">
        <f>_xlfn.XLOOKUP($C76,'IT Release 1 Analysis'!$C$2:$C$75,'IT Release 1 Analysis'!K$2:K$75," ")</f>
        <v xml:space="preserve"> </v>
      </c>
      <c r="O76" s="42" t="str">
        <f>_xlfn.XLOOKUP($C76,'IT Release 1 Analysis'!$C$2:$C$75,'IT Release 1 Analysis'!L$2:L$75," ")</f>
        <v xml:space="preserve"> </v>
      </c>
      <c r="P76" s="42" t="str">
        <f>_xlfn.XLOOKUP($C76,'IT Release 1 Analysis'!$C$2:$C$75,'IT Release 1 Analysis'!M$2:M$75," ")</f>
        <v xml:space="preserve"> </v>
      </c>
      <c r="Q76" s="42" t="str">
        <f>_xlfn.XLOOKUP($C76,'IT Release 1 Analysis'!$C$2:$C$75,'IT Release 1 Analysis'!N$2:N$75," ")</f>
        <v xml:space="preserve"> </v>
      </c>
      <c r="R76" s="42" t="str">
        <f>_xlfn.XLOOKUP($C76,'IT Release 1 Analysis'!$C$2:$C$75,'IT Release 1 Analysis'!O$2:O$75," ")</f>
        <v xml:space="preserve"> </v>
      </c>
      <c r="S76" s="42" t="str">
        <f>_xlfn.XLOOKUP($C76,'IT Release 1 Analysis'!$C$2:$C$75,'IT Release 1 Analysis'!P$2:P$75," ")</f>
        <v xml:space="preserve"> </v>
      </c>
      <c r="T76" s="42" t="str">
        <f>_xlfn.XLOOKUP($C76,'IT Release 1 Analysis'!$C$2:$C$75,'IT Release 1 Analysis'!Q$2:Q$75," ")</f>
        <v xml:space="preserve"> </v>
      </c>
      <c r="U76" s="42" t="str">
        <f>_xlfn.XLOOKUP($C76,'IT Release 1 Analysis'!$C$2:$C$75,'IT Release 1 Analysis'!R$2:R$75," ")</f>
        <v xml:space="preserve"> </v>
      </c>
      <c r="V76" s="42" t="str">
        <f>_xlfn.XLOOKUP($C76,'IT Release 1 Analysis'!$C$2:$C$75,'IT Release 1 Analysis'!S$2:S$75," ")</f>
        <v xml:space="preserve"> </v>
      </c>
      <c r="W76" s="42" t="str">
        <f>_xlfn.XLOOKUP($C76,'IT Release 1 Analysis'!$C$2:$C$75,'IT Release 1 Analysis'!T$2:T$75," ")</f>
        <v xml:space="preserve"> </v>
      </c>
      <c r="X76" s="42" t="str">
        <f>_xlfn.XLOOKUP($C76,'IT Release 1 Analysis'!$C$2:$C$75,'IT Release 1 Analysis'!U$2:U$75," ")</f>
        <v xml:space="preserve"> </v>
      </c>
      <c r="Y76" s="42" t="str">
        <f>_xlfn.XLOOKUP($C76,'IT Release 1 Analysis'!$C$2:$C$75,'IT Release 1 Analysis'!V$2:V$75," ")</f>
        <v xml:space="preserve"> </v>
      </c>
      <c r="Z76" s="42" t="str">
        <f>_xlfn.XLOOKUP($C76,'IT Release 1 Analysis'!$C$2:$C$75,'IT Release 1 Analysis'!W$2:W$75," ")</f>
        <v xml:space="preserve"> </v>
      </c>
    </row>
    <row r="77" spans="1:26" ht="57.75" thickBot="1" x14ac:dyDescent="0.3">
      <c r="A77" s="10" t="s">
        <v>187</v>
      </c>
      <c r="B77" s="10" t="s">
        <v>214</v>
      </c>
      <c r="C77" s="10" t="s">
        <v>221</v>
      </c>
      <c r="D77" s="10" t="s">
        <v>222</v>
      </c>
      <c r="E77" s="10" t="s">
        <v>220</v>
      </c>
      <c r="F77" s="10" t="s">
        <v>125</v>
      </c>
      <c r="G77" s="10" t="s">
        <v>17</v>
      </c>
      <c r="H77" s="10" t="s">
        <v>45</v>
      </c>
      <c r="I77" s="10"/>
      <c r="J77" s="10"/>
      <c r="K77" s="10" t="s">
        <v>17</v>
      </c>
      <c r="L77" s="10" t="s">
        <v>783</v>
      </c>
      <c r="M77" s="41"/>
      <c r="N77" s="42" t="str">
        <f>_xlfn.XLOOKUP($C77,'IT Release 1 Analysis'!$C$2:$C$75,'IT Release 1 Analysis'!K$2:K$75," ")</f>
        <v xml:space="preserve"> </v>
      </c>
      <c r="O77" s="42" t="str">
        <f>_xlfn.XLOOKUP($C77,'IT Release 1 Analysis'!$C$2:$C$75,'IT Release 1 Analysis'!L$2:L$75," ")</f>
        <v xml:space="preserve"> </v>
      </c>
      <c r="P77" s="42" t="str">
        <f>_xlfn.XLOOKUP($C77,'IT Release 1 Analysis'!$C$2:$C$75,'IT Release 1 Analysis'!M$2:M$75," ")</f>
        <v xml:space="preserve"> </v>
      </c>
      <c r="Q77" s="42" t="str">
        <f>_xlfn.XLOOKUP($C77,'IT Release 1 Analysis'!$C$2:$C$75,'IT Release 1 Analysis'!N$2:N$75," ")</f>
        <v xml:space="preserve"> </v>
      </c>
      <c r="R77" s="42" t="str">
        <f>_xlfn.XLOOKUP($C77,'IT Release 1 Analysis'!$C$2:$C$75,'IT Release 1 Analysis'!O$2:O$75," ")</f>
        <v xml:space="preserve"> </v>
      </c>
      <c r="S77" s="42" t="str">
        <f>_xlfn.XLOOKUP($C77,'IT Release 1 Analysis'!$C$2:$C$75,'IT Release 1 Analysis'!P$2:P$75," ")</f>
        <v xml:space="preserve"> </v>
      </c>
      <c r="T77" s="42" t="str">
        <f>_xlfn.XLOOKUP($C77,'IT Release 1 Analysis'!$C$2:$C$75,'IT Release 1 Analysis'!Q$2:Q$75," ")</f>
        <v xml:space="preserve"> </v>
      </c>
      <c r="U77" s="42" t="str">
        <f>_xlfn.XLOOKUP($C77,'IT Release 1 Analysis'!$C$2:$C$75,'IT Release 1 Analysis'!R$2:R$75," ")</f>
        <v xml:space="preserve"> </v>
      </c>
      <c r="V77" s="42" t="str">
        <f>_xlfn.XLOOKUP($C77,'IT Release 1 Analysis'!$C$2:$C$75,'IT Release 1 Analysis'!S$2:S$75," ")</f>
        <v xml:space="preserve"> </v>
      </c>
      <c r="W77" s="42" t="str">
        <f>_xlfn.XLOOKUP($C77,'IT Release 1 Analysis'!$C$2:$C$75,'IT Release 1 Analysis'!T$2:T$75," ")</f>
        <v xml:space="preserve"> </v>
      </c>
      <c r="X77" s="42" t="str">
        <f>_xlfn.XLOOKUP($C77,'IT Release 1 Analysis'!$C$2:$C$75,'IT Release 1 Analysis'!U$2:U$75," ")</f>
        <v xml:space="preserve"> </v>
      </c>
      <c r="Y77" s="42" t="str">
        <f>_xlfn.XLOOKUP($C77,'IT Release 1 Analysis'!$C$2:$C$75,'IT Release 1 Analysis'!V$2:V$75," ")</f>
        <v xml:space="preserve"> </v>
      </c>
      <c r="Z77" s="42" t="str">
        <f>_xlfn.XLOOKUP($C77,'IT Release 1 Analysis'!$C$2:$C$75,'IT Release 1 Analysis'!W$2:W$75," ")</f>
        <v xml:space="preserve"> </v>
      </c>
    </row>
    <row r="78" spans="1:26" ht="57.75" thickBot="1" x14ac:dyDescent="0.3">
      <c r="A78" s="10" t="s">
        <v>187</v>
      </c>
      <c r="B78" s="10" t="s">
        <v>223</v>
      </c>
      <c r="C78" s="10" t="s">
        <v>224</v>
      </c>
      <c r="D78" s="10" t="s">
        <v>225</v>
      </c>
      <c r="E78" s="10" t="s">
        <v>82</v>
      </c>
      <c r="F78" s="10" t="s">
        <v>71</v>
      </c>
      <c r="G78" s="10" t="s">
        <v>226</v>
      </c>
      <c r="H78" s="10" t="s">
        <v>18</v>
      </c>
      <c r="I78" s="10"/>
      <c r="J78" s="10"/>
      <c r="K78" s="10" t="s">
        <v>17</v>
      </c>
      <c r="L78" s="10" t="s">
        <v>779</v>
      </c>
      <c r="M78" s="41"/>
      <c r="N78" s="42"/>
      <c r="O78" s="42"/>
      <c r="P78" s="42"/>
      <c r="Q78" s="42"/>
      <c r="R78" s="42"/>
      <c r="S78" s="42"/>
      <c r="T78" s="42" t="str">
        <f>_xlfn.XLOOKUP($C78,'IT Release 1 Analysis'!$C$2:$C$75,'IT Release 1 Analysis'!Q$2:Q$75," ")</f>
        <v>x</v>
      </c>
      <c r="U78" s="42"/>
      <c r="V78" s="42"/>
      <c r="W78" s="42"/>
      <c r="X78" s="42"/>
      <c r="Y78" s="42" t="str">
        <f>_xlfn.XLOOKUP($C78,'IT Release 1 Analysis'!$C$2:$C$75,'IT Release 1 Analysis'!V$2:V$75," ")</f>
        <v>x</v>
      </c>
      <c r="Z78" s="42"/>
    </row>
    <row r="79" spans="1:26" ht="43.5" thickBot="1" x14ac:dyDescent="0.3">
      <c r="A79" s="10" t="s">
        <v>187</v>
      </c>
      <c r="B79" s="10" t="s">
        <v>223</v>
      </c>
      <c r="C79" s="10" t="s">
        <v>227</v>
      </c>
      <c r="D79" s="10" t="s">
        <v>228</v>
      </c>
      <c r="E79" s="10" t="s">
        <v>82</v>
      </c>
      <c r="F79" s="10" t="s">
        <v>71</v>
      </c>
      <c r="G79" s="10" t="s">
        <v>229</v>
      </c>
      <c r="H79" s="10" t="s">
        <v>18</v>
      </c>
      <c r="I79" s="10"/>
      <c r="J79" s="10"/>
      <c r="K79" s="10" t="s">
        <v>17</v>
      </c>
      <c r="L79" s="10" t="s">
        <v>779</v>
      </c>
      <c r="M79" s="41"/>
      <c r="N79" s="42"/>
      <c r="O79" s="42"/>
      <c r="P79" s="42"/>
      <c r="Q79" s="42"/>
      <c r="R79" s="42"/>
      <c r="S79" s="42"/>
      <c r="T79" s="42" t="str">
        <f>_xlfn.XLOOKUP($C79,'IT Release 1 Analysis'!$C$2:$C$75,'IT Release 1 Analysis'!Q$2:Q$75," ")</f>
        <v>x</v>
      </c>
      <c r="U79" s="42"/>
      <c r="V79" s="42"/>
      <c r="W79" s="42"/>
      <c r="X79" s="42"/>
      <c r="Y79" s="42" t="str">
        <f>_xlfn.XLOOKUP($C79,'IT Release 1 Analysis'!$C$2:$C$75,'IT Release 1 Analysis'!V$2:V$75," ")</f>
        <v>x</v>
      </c>
      <c r="Z79" s="42"/>
    </row>
    <row r="80" spans="1:26" ht="57.75" thickBot="1" x14ac:dyDescent="0.3">
      <c r="A80" s="10" t="s">
        <v>187</v>
      </c>
      <c r="B80" s="10" t="s">
        <v>223</v>
      </c>
      <c r="C80" s="10" t="s">
        <v>230</v>
      </c>
      <c r="D80" s="10" t="s">
        <v>231</v>
      </c>
      <c r="E80" s="10" t="s">
        <v>82</v>
      </c>
      <c r="F80" s="10" t="s">
        <v>167</v>
      </c>
      <c r="G80" s="10" t="s">
        <v>232</v>
      </c>
      <c r="H80" s="10" t="s">
        <v>45</v>
      </c>
      <c r="I80" s="10"/>
      <c r="J80" s="10"/>
      <c r="K80" s="10" t="s">
        <v>17</v>
      </c>
      <c r="L80" s="10" t="s">
        <v>783</v>
      </c>
      <c r="M80" s="41"/>
      <c r="N80" s="42" t="str">
        <f>_xlfn.XLOOKUP($C80,'IT Release 1 Analysis'!$C$2:$C$75,'IT Release 1 Analysis'!K$2:K$75," ")</f>
        <v xml:space="preserve"> </v>
      </c>
      <c r="O80" s="42" t="str">
        <f>_xlfn.XLOOKUP($C80,'IT Release 1 Analysis'!$C$2:$C$75,'IT Release 1 Analysis'!L$2:L$75," ")</f>
        <v xml:space="preserve"> </v>
      </c>
      <c r="P80" s="42" t="str">
        <f>_xlfn.XLOOKUP($C80,'IT Release 1 Analysis'!$C$2:$C$75,'IT Release 1 Analysis'!M$2:M$75," ")</f>
        <v xml:space="preserve"> </v>
      </c>
      <c r="Q80" s="42" t="str">
        <f>_xlfn.XLOOKUP($C80,'IT Release 1 Analysis'!$C$2:$C$75,'IT Release 1 Analysis'!N$2:N$75," ")</f>
        <v xml:space="preserve"> </v>
      </c>
      <c r="R80" s="42" t="str">
        <f>_xlfn.XLOOKUP($C80,'IT Release 1 Analysis'!$C$2:$C$75,'IT Release 1 Analysis'!O$2:O$75," ")</f>
        <v xml:space="preserve"> </v>
      </c>
      <c r="S80" s="42" t="str">
        <f>_xlfn.XLOOKUP($C80,'IT Release 1 Analysis'!$C$2:$C$75,'IT Release 1 Analysis'!P$2:P$75," ")</f>
        <v xml:space="preserve"> </v>
      </c>
      <c r="T80" s="42" t="str">
        <f>_xlfn.XLOOKUP($C80,'IT Release 1 Analysis'!$C$2:$C$75,'IT Release 1 Analysis'!Q$2:Q$75," ")</f>
        <v xml:space="preserve"> </v>
      </c>
      <c r="U80" s="42" t="str">
        <f>_xlfn.XLOOKUP($C80,'IT Release 1 Analysis'!$C$2:$C$75,'IT Release 1 Analysis'!R$2:R$75," ")</f>
        <v xml:space="preserve"> </v>
      </c>
      <c r="V80" s="42" t="str">
        <f>_xlfn.XLOOKUP($C80,'IT Release 1 Analysis'!$C$2:$C$75,'IT Release 1 Analysis'!S$2:S$75," ")</f>
        <v xml:space="preserve"> </v>
      </c>
      <c r="W80" s="42" t="str">
        <f>_xlfn.XLOOKUP($C80,'IT Release 1 Analysis'!$C$2:$C$75,'IT Release 1 Analysis'!T$2:T$75," ")</f>
        <v xml:space="preserve"> </v>
      </c>
      <c r="X80" s="42" t="str">
        <f>_xlfn.XLOOKUP($C80,'IT Release 1 Analysis'!$C$2:$C$75,'IT Release 1 Analysis'!U$2:U$75," ")</f>
        <v xml:space="preserve"> </v>
      </c>
      <c r="Y80" s="42" t="str">
        <f>_xlfn.XLOOKUP($C80,'IT Release 1 Analysis'!$C$2:$C$75,'IT Release 1 Analysis'!V$2:V$75," ")</f>
        <v xml:space="preserve"> </v>
      </c>
      <c r="Z80" s="42" t="str">
        <f>_xlfn.XLOOKUP($C80,'IT Release 1 Analysis'!$C$2:$C$75,'IT Release 1 Analysis'!W$2:W$75," ")</f>
        <v xml:space="preserve"> </v>
      </c>
    </row>
    <row r="81" spans="1:26" ht="57.75" thickBot="1" x14ac:dyDescent="0.3">
      <c r="A81" s="10" t="s">
        <v>187</v>
      </c>
      <c r="B81" s="10" t="s">
        <v>223</v>
      </c>
      <c r="C81" s="10" t="s">
        <v>233</v>
      </c>
      <c r="D81" s="10" t="s">
        <v>234</v>
      </c>
      <c r="E81" s="10" t="s">
        <v>82</v>
      </c>
      <c r="F81" s="10" t="s">
        <v>125</v>
      </c>
      <c r="G81" s="10" t="s">
        <v>17</v>
      </c>
      <c r="H81" s="10" t="s">
        <v>45</v>
      </c>
      <c r="I81" s="10"/>
      <c r="J81" s="10"/>
      <c r="K81" s="10" t="s">
        <v>17</v>
      </c>
      <c r="L81" s="10" t="s">
        <v>783</v>
      </c>
      <c r="M81" s="41"/>
      <c r="N81" s="42" t="str">
        <f>_xlfn.XLOOKUP($C81,'IT Release 1 Analysis'!$C$2:$C$75,'IT Release 1 Analysis'!K$2:K$75," ")</f>
        <v xml:space="preserve"> </v>
      </c>
      <c r="O81" s="42" t="str">
        <f>_xlfn.XLOOKUP($C81,'IT Release 1 Analysis'!$C$2:$C$75,'IT Release 1 Analysis'!L$2:L$75," ")</f>
        <v xml:space="preserve"> </v>
      </c>
      <c r="P81" s="42" t="str">
        <f>_xlfn.XLOOKUP($C81,'IT Release 1 Analysis'!$C$2:$C$75,'IT Release 1 Analysis'!M$2:M$75," ")</f>
        <v xml:space="preserve"> </v>
      </c>
      <c r="Q81" s="42" t="str">
        <f>_xlfn.XLOOKUP($C81,'IT Release 1 Analysis'!$C$2:$C$75,'IT Release 1 Analysis'!N$2:N$75," ")</f>
        <v xml:space="preserve"> </v>
      </c>
      <c r="R81" s="42" t="str">
        <f>_xlfn.XLOOKUP($C81,'IT Release 1 Analysis'!$C$2:$C$75,'IT Release 1 Analysis'!O$2:O$75," ")</f>
        <v xml:space="preserve"> </v>
      </c>
      <c r="S81" s="42" t="str">
        <f>_xlfn.XLOOKUP($C81,'IT Release 1 Analysis'!$C$2:$C$75,'IT Release 1 Analysis'!P$2:P$75," ")</f>
        <v xml:space="preserve"> </v>
      </c>
      <c r="T81" s="42" t="str">
        <f>_xlfn.XLOOKUP($C81,'IT Release 1 Analysis'!$C$2:$C$75,'IT Release 1 Analysis'!Q$2:Q$75," ")</f>
        <v xml:space="preserve"> </v>
      </c>
      <c r="U81" s="42" t="str">
        <f>_xlfn.XLOOKUP($C81,'IT Release 1 Analysis'!$C$2:$C$75,'IT Release 1 Analysis'!R$2:R$75," ")</f>
        <v xml:space="preserve"> </v>
      </c>
      <c r="V81" s="42" t="str">
        <f>_xlfn.XLOOKUP($C81,'IT Release 1 Analysis'!$C$2:$C$75,'IT Release 1 Analysis'!S$2:S$75," ")</f>
        <v xml:space="preserve"> </v>
      </c>
      <c r="W81" s="42" t="str">
        <f>_xlfn.XLOOKUP($C81,'IT Release 1 Analysis'!$C$2:$C$75,'IT Release 1 Analysis'!T$2:T$75," ")</f>
        <v xml:space="preserve"> </v>
      </c>
      <c r="X81" s="42" t="str">
        <f>_xlfn.XLOOKUP($C81,'IT Release 1 Analysis'!$C$2:$C$75,'IT Release 1 Analysis'!U$2:U$75," ")</f>
        <v xml:space="preserve"> </v>
      </c>
      <c r="Y81" s="42" t="str">
        <f>_xlfn.XLOOKUP($C81,'IT Release 1 Analysis'!$C$2:$C$75,'IT Release 1 Analysis'!V$2:V$75," ")</f>
        <v xml:space="preserve"> </v>
      </c>
      <c r="Z81" s="42" t="str">
        <f>_xlfn.XLOOKUP($C81,'IT Release 1 Analysis'!$C$2:$C$75,'IT Release 1 Analysis'!W$2:W$75," ")</f>
        <v xml:space="preserve"> </v>
      </c>
    </row>
    <row r="82" spans="1:26" ht="100.5" thickBot="1" x14ac:dyDescent="0.3">
      <c r="A82" s="10" t="s">
        <v>187</v>
      </c>
      <c r="B82" s="10" t="s">
        <v>235</v>
      </c>
      <c r="C82" s="10" t="s">
        <v>236</v>
      </c>
      <c r="D82" s="10" t="s">
        <v>237</v>
      </c>
      <c r="E82" s="10" t="s">
        <v>238</v>
      </c>
      <c r="F82" s="10" t="s">
        <v>167</v>
      </c>
      <c r="G82" s="10" t="s">
        <v>239</v>
      </c>
      <c r="H82" s="10" t="s">
        <v>45</v>
      </c>
      <c r="I82" s="10"/>
      <c r="J82" s="10"/>
      <c r="K82" s="10" t="s">
        <v>17</v>
      </c>
      <c r="L82" s="10" t="s">
        <v>783</v>
      </c>
      <c r="M82" s="41"/>
      <c r="N82" s="42" t="str">
        <f>_xlfn.XLOOKUP($C82,'IT Release 1 Analysis'!$C$2:$C$75,'IT Release 1 Analysis'!K$2:K$75," ")</f>
        <v xml:space="preserve"> </v>
      </c>
      <c r="O82" s="42" t="str">
        <f>_xlfn.XLOOKUP($C82,'IT Release 1 Analysis'!$C$2:$C$75,'IT Release 1 Analysis'!L$2:L$75," ")</f>
        <v xml:space="preserve"> </v>
      </c>
      <c r="P82" s="42" t="str">
        <f>_xlfn.XLOOKUP($C82,'IT Release 1 Analysis'!$C$2:$C$75,'IT Release 1 Analysis'!M$2:M$75," ")</f>
        <v xml:space="preserve"> </v>
      </c>
      <c r="Q82" s="42" t="str">
        <f>_xlfn.XLOOKUP($C82,'IT Release 1 Analysis'!$C$2:$C$75,'IT Release 1 Analysis'!N$2:N$75," ")</f>
        <v xml:space="preserve"> </v>
      </c>
      <c r="R82" s="42" t="str">
        <f>_xlfn.XLOOKUP($C82,'IT Release 1 Analysis'!$C$2:$C$75,'IT Release 1 Analysis'!O$2:O$75," ")</f>
        <v xml:space="preserve"> </v>
      </c>
      <c r="S82" s="42" t="str">
        <f>_xlfn.XLOOKUP($C82,'IT Release 1 Analysis'!$C$2:$C$75,'IT Release 1 Analysis'!P$2:P$75," ")</f>
        <v xml:space="preserve"> </v>
      </c>
      <c r="T82" s="42" t="str">
        <f>_xlfn.XLOOKUP($C82,'IT Release 1 Analysis'!$C$2:$C$75,'IT Release 1 Analysis'!Q$2:Q$75," ")</f>
        <v xml:space="preserve"> </v>
      </c>
      <c r="U82" s="42" t="str">
        <f>_xlfn.XLOOKUP($C82,'IT Release 1 Analysis'!$C$2:$C$75,'IT Release 1 Analysis'!R$2:R$75," ")</f>
        <v xml:space="preserve"> </v>
      </c>
      <c r="V82" s="42" t="str">
        <f>_xlfn.XLOOKUP($C82,'IT Release 1 Analysis'!$C$2:$C$75,'IT Release 1 Analysis'!S$2:S$75," ")</f>
        <v xml:space="preserve"> </v>
      </c>
      <c r="W82" s="42" t="str">
        <f>_xlfn.XLOOKUP($C82,'IT Release 1 Analysis'!$C$2:$C$75,'IT Release 1 Analysis'!T$2:T$75," ")</f>
        <v xml:space="preserve"> </v>
      </c>
      <c r="X82" s="42" t="str">
        <f>_xlfn.XLOOKUP($C82,'IT Release 1 Analysis'!$C$2:$C$75,'IT Release 1 Analysis'!U$2:U$75," ")</f>
        <v xml:space="preserve"> </v>
      </c>
      <c r="Y82" s="42" t="str">
        <f>_xlfn.XLOOKUP($C82,'IT Release 1 Analysis'!$C$2:$C$75,'IT Release 1 Analysis'!V$2:V$75," ")</f>
        <v xml:space="preserve"> </v>
      </c>
      <c r="Z82" s="42" t="str">
        <f>_xlfn.XLOOKUP($C82,'IT Release 1 Analysis'!$C$2:$C$75,'IT Release 1 Analysis'!W$2:W$75," ")</f>
        <v xml:space="preserve"> </v>
      </c>
    </row>
    <row r="83" spans="1:26" ht="72" thickBot="1" x14ac:dyDescent="0.3">
      <c r="A83" s="10" t="s">
        <v>187</v>
      </c>
      <c r="B83" s="10" t="s">
        <v>240</v>
      </c>
      <c r="C83" s="10" t="s">
        <v>241</v>
      </c>
      <c r="D83" s="10" t="s">
        <v>242</v>
      </c>
      <c r="E83" s="10" t="s">
        <v>702</v>
      </c>
      <c r="F83" s="10" t="s">
        <v>37</v>
      </c>
      <c r="G83" s="10" t="s">
        <v>243</v>
      </c>
      <c r="H83" s="10" t="s">
        <v>18</v>
      </c>
      <c r="I83" s="10"/>
      <c r="J83" s="10"/>
      <c r="K83" s="10" t="s">
        <v>753</v>
      </c>
      <c r="L83" s="10" t="s">
        <v>783</v>
      </c>
      <c r="M83" s="41"/>
      <c r="N83" s="42" t="str">
        <f>_xlfn.XLOOKUP($C83,'IT Release 1 Analysis'!$C$2:$C$75,'IT Release 1 Analysis'!K$2:K$75," ")</f>
        <v xml:space="preserve"> </v>
      </c>
      <c r="O83" s="42" t="str">
        <f>_xlfn.XLOOKUP($C83,'IT Release 1 Analysis'!$C$2:$C$75,'IT Release 1 Analysis'!L$2:L$75," ")</f>
        <v xml:space="preserve"> </v>
      </c>
      <c r="P83" s="42" t="str">
        <f>_xlfn.XLOOKUP($C83,'IT Release 1 Analysis'!$C$2:$C$75,'IT Release 1 Analysis'!M$2:M$75," ")</f>
        <v xml:space="preserve"> </v>
      </c>
      <c r="Q83" s="42" t="str">
        <f>_xlfn.XLOOKUP($C83,'IT Release 1 Analysis'!$C$2:$C$75,'IT Release 1 Analysis'!N$2:N$75," ")</f>
        <v xml:space="preserve"> </v>
      </c>
      <c r="R83" s="42" t="str">
        <f>_xlfn.XLOOKUP($C83,'IT Release 1 Analysis'!$C$2:$C$75,'IT Release 1 Analysis'!O$2:O$75," ")</f>
        <v xml:space="preserve"> </v>
      </c>
      <c r="S83" s="42" t="str">
        <f>_xlfn.XLOOKUP($C83,'IT Release 1 Analysis'!$C$2:$C$75,'IT Release 1 Analysis'!P$2:P$75," ")</f>
        <v xml:space="preserve"> </v>
      </c>
      <c r="T83" s="42" t="str">
        <f>_xlfn.XLOOKUP($C83,'IT Release 1 Analysis'!$C$2:$C$75,'IT Release 1 Analysis'!Q$2:Q$75," ")</f>
        <v xml:space="preserve"> </v>
      </c>
      <c r="U83" s="42" t="str">
        <f>_xlfn.XLOOKUP($C83,'IT Release 1 Analysis'!$C$2:$C$75,'IT Release 1 Analysis'!R$2:R$75," ")</f>
        <v xml:space="preserve"> </v>
      </c>
      <c r="V83" s="42" t="str">
        <f>_xlfn.XLOOKUP($C83,'IT Release 1 Analysis'!$C$2:$C$75,'IT Release 1 Analysis'!S$2:S$75," ")</f>
        <v xml:space="preserve"> </v>
      </c>
      <c r="W83" s="42" t="str">
        <f>_xlfn.XLOOKUP($C83,'IT Release 1 Analysis'!$C$2:$C$75,'IT Release 1 Analysis'!T$2:T$75," ")</f>
        <v xml:space="preserve"> </v>
      </c>
      <c r="X83" s="42" t="str">
        <f>_xlfn.XLOOKUP($C83,'IT Release 1 Analysis'!$C$2:$C$75,'IT Release 1 Analysis'!U$2:U$75," ")</f>
        <v xml:space="preserve"> </v>
      </c>
      <c r="Y83" s="42" t="str">
        <f>_xlfn.XLOOKUP($C83,'IT Release 1 Analysis'!$C$2:$C$75,'IT Release 1 Analysis'!V$2:V$75," ")</f>
        <v xml:space="preserve"> </v>
      </c>
      <c r="Z83" s="42" t="str">
        <f>_xlfn.XLOOKUP($C83,'IT Release 1 Analysis'!$C$2:$C$75,'IT Release 1 Analysis'!W$2:W$75," ")</f>
        <v xml:space="preserve"> </v>
      </c>
    </row>
    <row r="84" spans="1:26" ht="72" thickBot="1" x14ac:dyDescent="0.3">
      <c r="A84" s="10" t="s">
        <v>187</v>
      </c>
      <c r="B84" s="10" t="s">
        <v>240</v>
      </c>
      <c r="C84" s="10" t="s">
        <v>244</v>
      </c>
      <c r="D84" s="10" t="s">
        <v>245</v>
      </c>
      <c r="E84" s="10" t="s">
        <v>246</v>
      </c>
      <c r="F84" s="10" t="s">
        <v>37</v>
      </c>
      <c r="G84" s="10" t="s">
        <v>17</v>
      </c>
      <c r="H84" s="10" t="s">
        <v>18</v>
      </c>
      <c r="I84" s="10"/>
      <c r="J84" s="10"/>
      <c r="K84" s="10" t="s">
        <v>17</v>
      </c>
      <c r="L84" s="10" t="s">
        <v>783</v>
      </c>
      <c r="M84" s="41"/>
      <c r="N84" s="42" t="str">
        <f>_xlfn.XLOOKUP($C84,'IT Release 1 Analysis'!$C$2:$C$75,'IT Release 1 Analysis'!K$2:K$75," ")</f>
        <v xml:space="preserve"> </v>
      </c>
      <c r="O84" s="42" t="str">
        <f>_xlfn.XLOOKUP($C84,'IT Release 1 Analysis'!$C$2:$C$75,'IT Release 1 Analysis'!L$2:L$75," ")</f>
        <v xml:space="preserve"> </v>
      </c>
      <c r="P84" s="42" t="str">
        <f>_xlfn.XLOOKUP($C84,'IT Release 1 Analysis'!$C$2:$C$75,'IT Release 1 Analysis'!M$2:M$75," ")</f>
        <v xml:space="preserve"> </v>
      </c>
      <c r="Q84" s="42" t="str">
        <f>_xlfn.XLOOKUP($C84,'IT Release 1 Analysis'!$C$2:$C$75,'IT Release 1 Analysis'!N$2:N$75," ")</f>
        <v xml:space="preserve"> </v>
      </c>
      <c r="R84" s="42" t="str">
        <f>_xlfn.XLOOKUP($C84,'IT Release 1 Analysis'!$C$2:$C$75,'IT Release 1 Analysis'!O$2:O$75," ")</f>
        <v xml:space="preserve"> </v>
      </c>
      <c r="S84" s="42" t="str">
        <f>_xlfn.XLOOKUP($C84,'IT Release 1 Analysis'!$C$2:$C$75,'IT Release 1 Analysis'!P$2:P$75," ")</f>
        <v xml:space="preserve"> </v>
      </c>
      <c r="T84" s="42" t="str">
        <f>_xlfn.XLOOKUP($C84,'IT Release 1 Analysis'!$C$2:$C$75,'IT Release 1 Analysis'!Q$2:Q$75," ")</f>
        <v xml:space="preserve"> </v>
      </c>
      <c r="U84" s="42" t="str">
        <f>_xlfn.XLOOKUP($C84,'IT Release 1 Analysis'!$C$2:$C$75,'IT Release 1 Analysis'!R$2:R$75," ")</f>
        <v xml:space="preserve"> </v>
      </c>
      <c r="V84" s="42" t="str">
        <f>_xlfn.XLOOKUP($C84,'IT Release 1 Analysis'!$C$2:$C$75,'IT Release 1 Analysis'!S$2:S$75," ")</f>
        <v xml:space="preserve"> </v>
      </c>
      <c r="W84" s="42" t="str">
        <f>_xlfn.XLOOKUP($C84,'IT Release 1 Analysis'!$C$2:$C$75,'IT Release 1 Analysis'!T$2:T$75," ")</f>
        <v xml:space="preserve"> </v>
      </c>
      <c r="X84" s="42" t="str">
        <f>_xlfn.XLOOKUP($C84,'IT Release 1 Analysis'!$C$2:$C$75,'IT Release 1 Analysis'!U$2:U$75," ")</f>
        <v xml:space="preserve"> </v>
      </c>
      <c r="Y84" s="42" t="str">
        <f>_xlfn.XLOOKUP($C84,'IT Release 1 Analysis'!$C$2:$C$75,'IT Release 1 Analysis'!V$2:V$75," ")</f>
        <v xml:space="preserve"> </v>
      </c>
      <c r="Z84" s="42" t="str">
        <f>_xlfn.XLOOKUP($C84,'IT Release 1 Analysis'!$C$2:$C$75,'IT Release 1 Analysis'!W$2:W$75," ")</f>
        <v xml:space="preserve"> </v>
      </c>
    </row>
    <row r="85" spans="1:26" ht="72" thickBot="1" x14ac:dyDescent="0.3">
      <c r="A85" s="10" t="s">
        <v>187</v>
      </c>
      <c r="B85" s="10" t="s">
        <v>247</v>
      </c>
      <c r="C85" s="10" t="s">
        <v>248</v>
      </c>
      <c r="D85" s="10" t="s">
        <v>249</v>
      </c>
      <c r="E85" s="10" t="s">
        <v>250</v>
      </c>
      <c r="F85" s="10" t="s">
        <v>37</v>
      </c>
      <c r="G85" s="10" t="s">
        <v>17</v>
      </c>
      <c r="H85" s="10" t="s">
        <v>45</v>
      </c>
      <c r="I85" s="10"/>
      <c r="J85" s="10"/>
      <c r="K85" s="10" t="s">
        <v>754</v>
      </c>
      <c r="L85" s="10" t="s">
        <v>783</v>
      </c>
      <c r="M85" s="41"/>
      <c r="N85" s="42" t="str">
        <f>_xlfn.XLOOKUP($C85,'IT Release 1 Analysis'!$C$2:$C$75,'IT Release 1 Analysis'!K$2:K$75," ")</f>
        <v xml:space="preserve"> </v>
      </c>
      <c r="O85" s="42" t="str">
        <f>_xlfn.XLOOKUP($C85,'IT Release 1 Analysis'!$C$2:$C$75,'IT Release 1 Analysis'!L$2:L$75," ")</f>
        <v xml:space="preserve"> </v>
      </c>
      <c r="P85" s="42" t="str">
        <f>_xlfn.XLOOKUP($C85,'IT Release 1 Analysis'!$C$2:$C$75,'IT Release 1 Analysis'!M$2:M$75," ")</f>
        <v xml:space="preserve"> </v>
      </c>
      <c r="Q85" s="42" t="str">
        <f>_xlfn.XLOOKUP($C85,'IT Release 1 Analysis'!$C$2:$C$75,'IT Release 1 Analysis'!N$2:N$75," ")</f>
        <v xml:space="preserve"> </v>
      </c>
      <c r="R85" s="42" t="str">
        <f>_xlfn.XLOOKUP($C85,'IT Release 1 Analysis'!$C$2:$C$75,'IT Release 1 Analysis'!O$2:O$75," ")</f>
        <v xml:space="preserve"> </v>
      </c>
      <c r="S85" s="42" t="str">
        <f>_xlfn.XLOOKUP($C85,'IT Release 1 Analysis'!$C$2:$C$75,'IT Release 1 Analysis'!P$2:P$75," ")</f>
        <v xml:space="preserve"> </v>
      </c>
      <c r="T85" s="42" t="str">
        <f>_xlfn.XLOOKUP($C85,'IT Release 1 Analysis'!$C$2:$C$75,'IT Release 1 Analysis'!Q$2:Q$75," ")</f>
        <v xml:space="preserve"> </v>
      </c>
      <c r="U85" s="42" t="str">
        <f>_xlfn.XLOOKUP($C85,'IT Release 1 Analysis'!$C$2:$C$75,'IT Release 1 Analysis'!R$2:R$75," ")</f>
        <v xml:space="preserve"> </v>
      </c>
      <c r="V85" s="42" t="str">
        <f>_xlfn.XLOOKUP($C85,'IT Release 1 Analysis'!$C$2:$C$75,'IT Release 1 Analysis'!S$2:S$75," ")</f>
        <v xml:space="preserve"> </v>
      </c>
      <c r="W85" s="42" t="str">
        <f>_xlfn.XLOOKUP($C85,'IT Release 1 Analysis'!$C$2:$C$75,'IT Release 1 Analysis'!T$2:T$75," ")</f>
        <v xml:space="preserve"> </v>
      </c>
      <c r="X85" s="42" t="str">
        <f>_xlfn.XLOOKUP($C85,'IT Release 1 Analysis'!$C$2:$C$75,'IT Release 1 Analysis'!U$2:U$75," ")</f>
        <v xml:space="preserve"> </v>
      </c>
      <c r="Y85" s="42" t="str">
        <f>_xlfn.XLOOKUP($C85,'IT Release 1 Analysis'!$C$2:$C$75,'IT Release 1 Analysis'!V$2:V$75," ")</f>
        <v xml:space="preserve"> </v>
      </c>
      <c r="Z85" s="42" t="str">
        <f>_xlfn.XLOOKUP($C85,'IT Release 1 Analysis'!$C$2:$C$75,'IT Release 1 Analysis'!W$2:W$75," ")</f>
        <v xml:space="preserve"> </v>
      </c>
    </row>
    <row r="86" spans="1:26" ht="72" thickBot="1" x14ac:dyDescent="0.3">
      <c r="A86" s="10" t="s">
        <v>187</v>
      </c>
      <c r="B86" s="10" t="s">
        <v>247</v>
      </c>
      <c r="C86" s="10" t="s">
        <v>251</v>
      </c>
      <c r="D86" s="10" t="s">
        <v>252</v>
      </c>
      <c r="E86" s="10" t="s">
        <v>250</v>
      </c>
      <c r="F86" s="10" t="s">
        <v>37</v>
      </c>
      <c r="G86" s="10" t="s">
        <v>17</v>
      </c>
      <c r="H86" s="10" t="s">
        <v>45</v>
      </c>
      <c r="I86" s="10"/>
      <c r="J86" s="10"/>
      <c r="K86" s="10" t="s">
        <v>754</v>
      </c>
      <c r="L86" s="10" t="s">
        <v>783</v>
      </c>
      <c r="M86" s="41"/>
      <c r="N86" s="42" t="str">
        <f>_xlfn.XLOOKUP($C86,'IT Release 1 Analysis'!$C$2:$C$75,'IT Release 1 Analysis'!K$2:K$75," ")</f>
        <v xml:space="preserve"> </v>
      </c>
      <c r="O86" s="42" t="str">
        <f>_xlfn.XLOOKUP($C86,'IT Release 1 Analysis'!$C$2:$C$75,'IT Release 1 Analysis'!L$2:L$75," ")</f>
        <v xml:space="preserve"> </v>
      </c>
      <c r="P86" s="42" t="str">
        <f>_xlfn.XLOOKUP($C86,'IT Release 1 Analysis'!$C$2:$C$75,'IT Release 1 Analysis'!M$2:M$75," ")</f>
        <v xml:space="preserve"> </v>
      </c>
      <c r="Q86" s="42" t="str">
        <f>_xlfn.XLOOKUP($C86,'IT Release 1 Analysis'!$C$2:$C$75,'IT Release 1 Analysis'!N$2:N$75," ")</f>
        <v xml:space="preserve"> </v>
      </c>
      <c r="R86" s="42" t="str">
        <f>_xlfn.XLOOKUP($C86,'IT Release 1 Analysis'!$C$2:$C$75,'IT Release 1 Analysis'!O$2:O$75," ")</f>
        <v xml:space="preserve"> </v>
      </c>
      <c r="S86" s="42" t="str">
        <f>_xlfn.XLOOKUP($C86,'IT Release 1 Analysis'!$C$2:$C$75,'IT Release 1 Analysis'!P$2:P$75," ")</f>
        <v xml:space="preserve"> </v>
      </c>
      <c r="T86" s="42" t="str">
        <f>_xlfn.XLOOKUP($C86,'IT Release 1 Analysis'!$C$2:$C$75,'IT Release 1 Analysis'!Q$2:Q$75," ")</f>
        <v xml:space="preserve"> </v>
      </c>
      <c r="U86" s="42" t="str">
        <f>_xlfn.XLOOKUP($C86,'IT Release 1 Analysis'!$C$2:$C$75,'IT Release 1 Analysis'!R$2:R$75," ")</f>
        <v xml:space="preserve"> </v>
      </c>
      <c r="V86" s="42" t="str">
        <f>_xlfn.XLOOKUP($C86,'IT Release 1 Analysis'!$C$2:$C$75,'IT Release 1 Analysis'!S$2:S$75," ")</f>
        <v xml:space="preserve"> </v>
      </c>
      <c r="W86" s="42" t="str">
        <f>_xlfn.XLOOKUP($C86,'IT Release 1 Analysis'!$C$2:$C$75,'IT Release 1 Analysis'!T$2:T$75," ")</f>
        <v xml:space="preserve"> </v>
      </c>
      <c r="X86" s="42" t="str">
        <f>_xlfn.XLOOKUP($C86,'IT Release 1 Analysis'!$C$2:$C$75,'IT Release 1 Analysis'!U$2:U$75," ")</f>
        <v xml:space="preserve"> </v>
      </c>
      <c r="Y86" s="42" t="str">
        <f>_xlfn.XLOOKUP($C86,'IT Release 1 Analysis'!$C$2:$C$75,'IT Release 1 Analysis'!V$2:V$75," ")</f>
        <v xml:space="preserve"> </v>
      </c>
      <c r="Z86" s="42" t="str">
        <f>_xlfn.XLOOKUP($C86,'IT Release 1 Analysis'!$C$2:$C$75,'IT Release 1 Analysis'!W$2:W$75," ")</f>
        <v xml:space="preserve"> </v>
      </c>
    </row>
    <row r="87" spans="1:26" ht="72" thickBot="1" x14ac:dyDescent="0.3">
      <c r="A87" s="10" t="s">
        <v>187</v>
      </c>
      <c r="B87" s="10" t="s">
        <v>253</v>
      </c>
      <c r="C87" s="10" t="s">
        <v>254</v>
      </c>
      <c r="D87" s="10" t="s">
        <v>255</v>
      </c>
      <c r="E87" s="10" t="s">
        <v>250</v>
      </c>
      <c r="F87" s="10" t="s">
        <v>125</v>
      </c>
      <c r="G87" s="10" t="s">
        <v>17</v>
      </c>
      <c r="H87" s="10" t="s">
        <v>45</v>
      </c>
      <c r="I87" s="10"/>
      <c r="J87" s="10"/>
      <c r="K87" s="10" t="s">
        <v>755</v>
      </c>
      <c r="L87" s="10" t="s">
        <v>783</v>
      </c>
      <c r="M87" s="41"/>
      <c r="N87" s="42" t="str">
        <f>_xlfn.XLOOKUP($C87,'IT Release 1 Analysis'!$C$2:$C$75,'IT Release 1 Analysis'!K$2:K$75," ")</f>
        <v xml:space="preserve"> </v>
      </c>
      <c r="O87" s="42" t="str">
        <f>_xlfn.XLOOKUP($C87,'IT Release 1 Analysis'!$C$2:$C$75,'IT Release 1 Analysis'!L$2:L$75," ")</f>
        <v xml:space="preserve"> </v>
      </c>
      <c r="P87" s="42" t="str">
        <f>_xlfn.XLOOKUP($C87,'IT Release 1 Analysis'!$C$2:$C$75,'IT Release 1 Analysis'!M$2:M$75," ")</f>
        <v xml:space="preserve"> </v>
      </c>
      <c r="Q87" s="42" t="str">
        <f>_xlfn.XLOOKUP($C87,'IT Release 1 Analysis'!$C$2:$C$75,'IT Release 1 Analysis'!N$2:N$75," ")</f>
        <v xml:space="preserve"> </v>
      </c>
      <c r="R87" s="42" t="str">
        <f>_xlfn.XLOOKUP($C87,'IT Release 1 Analysis'!$C$2:$C$75,'IT Release 1 Analysis'!O$2:O$75," ")</f>
        <v xml:space="preserve"> </v>
      </c>
      <c r="S87" s="42" t="str">
        <f>_xlfn.XLOOKUP($C87,'IT Release 1 Analysis'!$C$2:$C$75,'IT Release 1 Analysis'!P$2:P$75," ")</f>
        <v xml:space="preserve"> </v>
      </c>
      <c r="T87" s="42" t="str">
        <f>_xlfn.XLOOKUP($C87,'IT Release 1 Analysis'!$C$2:$C$75,'IT Release 1 Analysis'!Q$2:Q$75," ")</f>
        <v xml:space="preserve"> </v>
      </c>
      <c r="U87" s="42" t="str">
        <f>_xlfn.XLOOKUP($C87,'IT Release 1 Analysis'!$C$2:$C$75,'IT Release 1 Analysis'!R$2:R$75," ")</f>
        <v xml:space="preserve"> </v>
      </c>
      <c r="V87" s="42" t="str">
        <f>_xlfn.XLOOKUP($C87,'IT Release 1 Analysis'!$C$2:$C$75,'IT Release 1 Analysis'!S$2:S$75," ")</f>
        <v xml:space="preserve"> </v>
      </c>
      <c r="W87" s="42" t="str">
        <f>_xlfn.XLOOKUP($C87,'IT Release 1 Analysis'!$C$2:$C$75,'IT Release 1 Analysis'!T$2:T$75," ")</f>
        <v xml:space="preserve"> </v>
      </c>
      <c r="X87" s="42" t="str">
        <f>_xlfn.XLOOKUP($C87,'IT Release 1 Analysis'!$C$2:$C$75,'IT Release 1 Analysis'!U$2:U$75," ")</f>
        <v xml:space="preserve"> </v>
      </c>
      <c r="Y87" s="42" t="str">
        <f>_xlfn.XLOOKUP($C87,'IT Release 1 Analysis'!$C$2:$C$75,'IT Release 1 Analysis'!V$2:V$75," ")</f>
        <v xml:space="preserve"> </v>
      </c>
      <c r="Z87" s="42" t="str">
        <f>_xlfn.XLOOKUP($C87,'IT Release 1 Analysis'!$C$2:$C$75,'IT Release 1 Analysis'!W$2:W$75," ")</f>
        <v xml:space="preserve"> </v>
      </c>
    </row>
    <row r="88" spans="1:26" ht="57.75" thickBot="1" x14ac:dyDescent="0.3">
      <c r="A88" s="10" t="s">
        <v>187</v>
      </c>
      <c r="B88" s="10" t="s">
        <v>253</v>
      </c>
      <c r="C88" s="10" t="s">
        <v>256</v>
      </c>
      <c r="D88" s="10" t="s">
        <v>257</v>
      </c>
      <c r="E88" s="10" t="s">
        <v>220</v>
      </c>
      <c r="F88" s="10" t="s">
        <v>125</v>
      </c>
      <c r="G88" s="10" t="s">
        <v>17</v>
      </c>
      <c r="H88" s="10" t="s">
        <v>45</v>
      </c>
      <c r="I88" s="10"/>
      <c r="J88" s="10"/>
      <c r="K88" s="10" t="s">
        <v>17</v>
      </c>
      <c r="L88" s="10" t="s">
        <v>783</v>
      </c>
      <c r="M88" s="41"/>
      <c r="N88" s="42" t="str">
        <f>_xlfn.XLOOKUP($C88,'IT Release 1 Analysis'!$C$2:$C$75,'IT Release 1 Analysis'!K$2:K$75," ")</f>
        <v xml:space="preserve"> </v>
      </c>
      <c r="O88" s="42" t="str">
        <f>_xlfn.XLOOKUP($C88,'IT Release 1 Analysis'!$C$2:$C$75,'IT Release 1 Analysis'!L$2:L$75," ")</f>
        <v xml:space="preserve"> </v>
      </c>
      <c r="P88" s="42" t="str">
        <f>_xlfn.XLOOKUP($C88,'IT Release 1 Analysis'!$C$2:$C$75,'IT Release 1 Analysis'!M$2:M$75," ")</f>
        <v xml:space="preserve"> </v>
      </c>
      <c r="Q88" s="42" t="str">
        <f>_xlfn.XLOOKUP($C88,'IT Release 1 Analysis'!$C$2:$C$75,'IT Release 1 Analysis'!N$2:N$75," ")</f>
        <v xml:space="preserve"> </v>
      </c>
      <c r="R88" s="42" t="str">
        <f>_xlfn.XLOOKUP($C88,'IT Release 1 Analysis'!$C$2:$C$75,'IT Release 1 Analysis'!O$2:O$75," ")</f>
        <v xml:space="preserve"> </v>
      </c>
      <c r="S88" s="42" t="str">
        <f>_xlfn.XLOOKUP($C88,'IT Release 1 Analysis'!$C$2:$C$75,'IT Release 1 Analysis'!P$2:P$75," ")</f>
        <v xml:space="preserve"> </v>
      </c>
      <c r="T88" s="42" t="str">
        <f>_xlfn.XLOOKUP($C88,'IT Release 1 Analysis'!$C$2:$C$75,'IT Release 1 Analysis'!Q$2:Q$75," ")</f>
        <v xml:space="preserve"> </v>
      </c>
      <c r="U88" s="42" t="str">
        <f>_xlfn.XLOOKUP($C88,'IT Release 1 Analysis'!$C$2:$C$75,'IT Release 1 Analysis'!R$2:R$75," ")</f>
        <v xml:space="preserve"> </v>
      </c>
      <c r="V88" s="42" t="str">
        <f>_xlfn.XLOOKUP($C88,'IT Release 1 Analysis'!$C$2:$C$75,'IT Release 1 Analysis'!S$2:S$75," ")</f>
        <v xml:space="preserve"> </v>
      </c>
      <c r="W88" s="42" t="str">
        <f>_xlfn.XLOOKUP($C88,'IT Release 1 Analysis'!$C$2:$C$75,'IT Release 1 Analysis'!T$2:T$75," ")</f>
        <v xml:space="preserve"> </v>
      </c>
      <c r="X88" s="42" t="str">
        <f>_xlfn.XLOOKUP($C88,'IT Release 1 Analysis'!$C$2:$C$75,'IT Release 1 Analysis'!U$2:U$75," ")</f>
        <v xml:space="preserve"> </v>
      </c>
      <c r="Y88" s="42" t="str">
        <f>_xlfn.XLOOKUP($C88,'IT Release 1 Analysis'!$C$2:$C$75,'IT Release 1 Analysis'!V$2:V$75," ")</f>
        <v xml:space="preserve"> </v>
      </c>
      <c r="Z88" s="42" t="str">
        <f>_xlfn.XLOOKUP($C88,'IT Release 1 Analysis'!$C$2:$C$75,'IT Release 1 Analysis'!W$2:W$75," ")</f>
        <v xml:space="preserve"> </v>
      </c>
    </row>
    <row r="89" spans="1:26" ht="72" thickBot="1" x14ac:dyDescent="0.3">
      <c r="A89" s="10" t="s">
        <v>187</v>
      </c>
      <c r="B89" s="10" t="s">
        <v>258</v>
      </c>
      <c r="C89" s="10" t="s">
        <v>259</v>
      </c>
      <c r="D89" s="10" t="s">
        <v>260</v>
      </c>
      <c r="E89" s="10" t="s">
        <v>261</v>
      </c>
      <c r="F89" s="10" t="s">
        <v>167</v>
      </c>
      <c r="G89" s="10" t="s">
        <v>262</v>
      </c>
      <c r="H89" s="10" t="s">
        <v>18</v>
      </c>
      <c r="I89" s="10"/>
      <c r="J89" s="10"/>
      <c r="K89" s="10" t="s">
        <v>17</v>
      </c>
      <c r="L89" s="10" t="s">
        <v>783</v>
      </c>
      <c r="M89" s="41"/>
      <c r="N89" s="42" t="str">
        <f>_xlfn.XLOOKUP($C89,'IT Release 1 Analysis'!$C$2:$C$75,'IT Release 1 Analysis'!K$2:K$75," ")</f>
        <v xml:space="preserve"> </v>
      </c>
      <c r="O89" s="42" t="str">
        <f>_xlfn.XLOOKUP($C89,'IT Release 1 Analysis'!$C$2:$C$75,'IT Release 1 Analysis'!L$2:L$75," ")</f>
        <v xml:space="preserve"> </v>
      </c>
      <c r="P89" s="42" t="str">
        <f>_xlfn.XLOOKUP($C89,'IT Release 1 Analysis'!$C$2:$C$75,'IT Release 1 Analysis'!M$2:M$75," ")</f>
        <v xml:space="preserve"> </v>
      </c>
      <c r="Q89" s="42" t="str">
        <f>_xlfn.XLOOKUP($C89,'IT Release 1 Analysis'!$C$2:$C$75,'IT Release 1 Analysis'!N$2:N$75," ")</f>
        <v xml:space="preserve"> </v>
      </c>
      <c r="R89" s="42" t="str">
        <f>_xlfn.XLOOKUP($C89,'IT Release 1 Analysis'!$C$2:$C$75,'IT Release 1 Analysis'!O$2:O$75," ")</f>
        <v xml:space="preserve"> </v>
      </c>
      <c r="S89" s="42" t="str">
        <f>_xlfn.XLOOKUP($C89,'IT Release 1 Analysis'!$C$2:$C$75,'IT Release 1 Analysis'!P$2:P$75," ")</f>
        <v xml:space="preserve"> </v>
      </c>
      <c r="T89" s="42" t="str">
        <f>_xlfn.XLOOKUP($C89,'IT Release 1 Analysis'!$C$2:$C$75,'IT Release 1 Analysis'!Q$2:Q$75," ")</f>
        <v xml:space="preserve"> </v>
      </c>
      <c r="U89" s="42" t="str">
        <f>_xlfn.XLOOKUP($C89,'IT Release 1 Analysis'!$C$2:$C$75,'IT Release 1 Analysis'!R$2:R$75," ")</f>
        <v xml:space="preserve"> </v>
      </c>
      <c r="V89" s="42" t="str">
        <f>_xlfn.XLOOKUP($C89,'IT Release 1 Analysis'!$C$2:$C$75,'IT Release 1 Analysis'!S$2:S$75," ")</f>
        <v xml:space="preserve"> </v>
      </c>
      <c r="W89" s="42" t="str">
        <f>_xlfn.XLOOKUP($C89,'IT Release 1 Analysis'!$C$2:$C$75,'IT Release 1 Analysis'!T$2:T$75," ")</f>
        <v xml:space="preserve"> </v>
      </c>
      <c r="X89" s="42" t="str">
        <f>_xlfn.XLOOKUP($C89,'IT Release 1 Analysis'!$C$2:$C$75,'IT Release 1 Analysis'!U$2:U$75," ")</f>
        <v xml:space="preserve"> </v>
      </c>
      <c r="Y89" s="42" t="str">
        <f>_xlfn.XLOOKUP($C89,'IT Release 1 Analysis'!$C$2:$C$75,'IT Release 1 Analysis'!V$2:V$75," ")</f>
        <v xml:space="preserve"> </v>
      </c>
      <c r="Z89" s="42" t="str">
        <f>_xlfn.XLOOKUP($C89,'IT Release 1 Analysis'!$C$2:$C$75,'IT Release 1 Analysis'!W$2:W$75," ")</f>
        <v xml:space="preserve"> </v>
      </c>
    </row>
    <row r="90" spans="1:26" ht="86.25" thickBot="1" x14ac:dyDescent="0.3">
      <c r="A90" s="10" t="s">
        <v>187</v>
      </c>
      <c r="B90" s="10" t="s">
        <v>263</v>
      </c>
      <c r="C90" s="10" t="s">
        <v>264</v>
      </c>
      <c r="D90" s="10" t="s">
        <v>265</v>
      </c>
      <c r="E90" s="10" t="s">
        <v>266</v>
      </c>
      <c r="F90" s="10" t="s">
        <v>167</v>
      </c>
      <c r="G90" s="10" t="s">
        <v>267</v>
      </c>
      <c r="H90" s="10" t="s">
        <v>45</v>
      </c>
      <c r="I90" s="10"/>
      <c r="J90" s="10"/>
      <c r="K90" s="10" t="s">
        <v>17</v>
      </c>
      <c r="L90" s="10" t="s">
        <v>783</v>
      </c>
      <c r="M90" s="41"/>
      <c r="N90" s="42" t="str">
        <f>_xlfn.XLOOKUP($C90,'IT Release 1 Analysis'!$C$2:$C$75,'IT Release 1 Analysis'!K$2:K$75," ")</f>
        <v xml:space="preserve"> </v>
      </c>
      <c r="O90" s="42" t="str">
        <f>_xlfn.XLOOKUP($C90,'IT Release 1 Analysis'!$C$2:$C$75,'IT Release 1 Analysis'!L$2:L$75," ")</f>
        <v xml:space="preserve"> </v>
      </c>
      <c r="P90" s="42" t="str">
        <f>_xlfn.XLOOKUP($C90,'IT Release 1 Analysis'!$C$2:$C$75,'IT Release 1 Analysis'!M$2:M$75," ")</f>
        <v xml:space="preserve"> </v>
      </c>
      <c r="Q90" s="42" t="str">
        <f>_xlfn.XLOOKUP($C90,'IT Release 1 Analysis'!$C$2:$C$75,'IT Release 1 Analysis'!N$2:N$75," ")</f>
        <v xml:space="preserve"> </v>
      </c>
      <c r="R90" s="42" t="str">
        <f>_xlfn.XLOOKUP($C90,'IT Release 1 Analysis'!$C$2:$C$75,'IT Release 1 Analysis'!O$2:O$75," ")</f>
        <v xml:space="preserve"> </v>
      </c>
      <c r="S90" s="42" t="str">
        <f>_xlfn.XLOOKUP($C90,'IT Release 1 Analysis'!$C$2:$C$75,'IT Release 1 Analysis'!P$2:P$75," ")</f>
        <v xml:space="preserve"> </v>
      </c>
      <c r="T90" s="42" t="str">
        <f>_xlfn.XLOOKUP($C90,'IT Release 1 Analysis'!$C$2:$C$75,'IT Release 1 Analysis'!Q$2:Q$75," ")</f>
        <v xml:space="preserve"> </v>
      </c>
      <c r="U90" s="42" t="str">
        <f>_xlfn.XLOOKUP($C90,'IT Release 1 Analysis'!$C$2:$C$75,'IT Release 1 Analysis'!R$2:R$75," ")</f>
        <v xml:space="preserve"> </v>
      </c>
      <c r="V90" s="42" t="str">
        <f>_xlfn.XLOOKUP($C90,'IT Release 1 Analysis'!$C$2:$C$75,'IT Release 1 Analysis'!S$2:S$75," ")</f>
        <v xml:space="preserve"> </v>
      </c>
      <c r="W90" s="42" t="str">
        <f>_xlfn.XLOOKUP($C90,'IT Release 1 Analysis'!$C$2:$C$75,'IT Release 1 Analysis'!T$2:T$75," ")</f>
        <v xml:space="preserve"> </v>
      </c>
      <c r="X90" s="42" t="str">
        <f>_xlfn.XLOOKUP($C90,'IT Release 1 Analysis'!$C$2:$C$75,'IT Release 1 Analysis'!U$2:U$75," ")</f>
        <v xml:space="preserve"> </v>
      </c>
      <c r="Y90" s="42" t="str">
        <f>_xlfn.XLOOKUP($C90,'IT Release 1 Analysis'!$C$2:$C$75,'IT Release 1 Analysis'!V$2:V$75," ")</f>
        <v xml:space="preserve"> </v>
      </c>
      <c r="Z90" s="42" t="str">
        <f>_xlfn.XLOOKUP($C90,'IT Release 1 Analysis'!$C$2:$C$75,'IT Release 1 Analysis'!W$2:W$75," ")</f>
        <v xml:space="preserve"> </v>
      </c>
    </row>
    <row r="91" spans="1:26" ht="72" thickBot="1" x14ac:dyDescent="0.3">
      <c r="A91" s="10" t="s">
        <v>187</v>
      </c>
      <c r="B91" s="10" t="s">
        <v>263</v>
      </c>
      <c r="C91" s="10" t="s">
        <v>268</v>
      </c>
      <c r="D91" s="10" t="s">
        <v>269</v>
      </c>
      <c r="E91" s="10" t="s">
        <v>270</v>
      </c>
      <c r="F91" s="10" t="s">
        <v>125</v>
      </c>
      <c r="G91" s="10" t="s">
        <v>17</v>
      </c>
      <c r="H91" s="10" t="s">
        <v>45</v>
      </c>
      <c r="I91" s="10"/>
      <c r="J91" s="10"/>
      <c r="K91" s="10" t="s">
        <v>17</v>
      </c>
      <c r="L91" s="10" t="s">
        <v>783</v>
      </c>
      <c r="M91" s="41"/>
      <c r="N91" s="42" t="str">
        <f>_xlfn.XLOOKUP($C91,'IT Release 1 Analysis'!$C$2:$C$75,'IT Release 1 Analysis'!K$2:K$75," ")</f>
        <v xml:space="preserve"> </v>
      </c>
      <c r="O91" s="42" t="str">
        <f>_xlfn.XLOOKUP($C91,'IT Release 1 Analysis'!$C$2:$C$75,'IT Release 1 Analysis'!L$2:L$75," ")</f>
        <v xml:space="preserve"> </v>
      </c>
      <c r="P91" s="42" t="str">
        <f>_xlfn.XLOOKUP($C91,'IT Release 1 Analysis'!$C$2:$C$75,'IT Release 1 Analysis'!M$2:M$75," ")</f>
        <v xml:space="preserve"> </v>
      </c>
      <c r="Q91" s="42" t="str">
        <f>_xlfn.XLOOKUP($C91,'IT Release 1 Analysis'!$C$2:$C$75,'IT Release 1 Analysis'!N$2:N$75," ")</f>
        <v xml:space="preserve"> </v>
      </c>
      <c r="R91" s="42" t="str">
        <f>_xlfn.XLOOKUP($C91,'IT Release 1 Analysis'!$C$2:$C$75,'IT Release 1 Analysis'!O$2:O$75," ")</f>
        <v xml:space="preserve"> </v>
      </c>
      <c r="S91" s="42" t="str">
        <f>_xlfn.XLOOKUP($C91,'IT Release 1 Analysis'!$C$2:$C$75,'IT Release 1 Analysis'!P$2:P$75," ")</f>
        <v xml:space="preserve"> </v>
      </c>
      <c r="T91" s="42" t="str">
        <f>_xlfn.XLOOKUP($C91,'IT Release 1 Analysis'!$C$2:$C$75,'IT Release 1 Analysis'!Q$2:Q$75," ")</f>
        <v xml:space="preserve"> </v>
      </c>
      <c r="U91" s="42" t="str">
        <f>_xlfn.XLOOKUP($C91,'IT Release 1 Analysis'!$C$2:$C$75,'IT Release 1 Analysis'!R$2:R$75," ")</f>
        <v xml:space="preserve"> </v>
      </c>
      <c r="V91" s="42" t="str">
        <f>_xlfn.XLOOKUP($C91,'IT Release 1 Analysis'!$C$2:$C$75,'IT Release 1 Analysis'!S$2:S$75," ")</f>
        <v xml:space="preserve"> </v>
      </c>
      <c r="W91" s="42" t="str">
        <f>_xlfn.XLOOKUP($C91,'IT Release 1 Analysis'!$C$2:$C$75,'IT Release 1 Analysis'!T$2:T$75," ")</f>
        <v xml:space="preserve"> </v>
      </c>
      <c r="X91" s="42" t="str">
        <f>_xlfn.XLOOKUP($C91,'IT Release 1 Analysis'!$C$2:$C$75,'IT Release 1 Analysis'!U$2:U$75," ")</f>
        <v xml:space="preserve"> </v>
      </c>
      <c r="Y91" s="42" t="str">
        <f>_xlfn.XLOOKUP($C91,'IT Release 1 Analysis'!$C$2:$C$75,'IT Release 1 Analysis'!V$2:V$75," ")</f>
        <v xml:space="preserve"> </v>
      </c>
      <c r="Z91" s="42" t="str">
        <f>_xlfn.XLOOKUP($C91,'IT Release 1 Analysis'!$C$2:$C$75,'IT Release 1 Analysis'!W$2:W$75," ")</f>
        <v xml:space="preserve"> </v>
      </c>
    </row>
    <row r="92" spans="1:26" ht="57.75" thickBot="1" x14ac:dyDescent="0.3">
      <c r="A92" s="10" t="s">
        <v>271</v>
      </c>
      <c r="B92" s="10" t="s">
        <v>272</v>
      </c>
      <c r="C92" s="10" t="s">
        <v>273</v>
      </c>
      <c r="D92" s="10" t="s">
        <v>274</v>
      </c>
      <c r="E92" s="10" t="s">
        <v>24</v>
      </c>
      <c r="F92" s="10" t="s">
        <v>16</v>
      </c>
      <c r="G92" s="10" t="s">
        <v>17</v>
      </c>
      <c r="H92" s="10" t="s">
        <v>18</v>
      </c>
      <c r="I92" s="10"/>
      <c r="J92" s="10"/>
      <c r="K92" s="10" t="s">
        <v>747</v>
      </c>
      <c r="L92" s="10" t="s">
        <v>779</v>
      </c>
      <c r="M92" s="41"/>
      <c r="N92" s="42" t="str">
        <f>_xlfn.XLOOKUP($C92,'IT Release 1 Analysis'!$C$2:$C$75,'IT Release 1 Analysis'!K$2:K$75," ")</f>
        <v>x</v>
      </c>
      <c r="O92" s="42"/>
      <c r="P92" s="42"/>
      <c r="Q92" s="42"/>
      <c r="R92" s="42"/>
      <c r="S92" s="42"/>
      <c r="T92" s="42"/>
      <c r="U92" s="42"/>
      <c r="V92" s="42" t="str">
        <f>_xlfn.XLOOKUP($C92,'IT Release 1 Analysis'!$C$2:$C$75,'IT Release 1 Analysis'!S$2:S$75," ")</f>
        <v>x</v>
      </c>
      <c r="W92" s="42" t="str">
        <f>_xlfn.XLOOKUP($C92,'IT Release 1 Analysis'!$C$2:$C$75,'IT Release 1 Analysis'!T$2:T$75," ")</f>
        <v>x</v>
      </c>
      <c r="X92" s="42" t="str">
        <f>_xlfn.XLOOKUP($C92,'IT Release 1 Analysis'!$C$2:$C$75,'IT Release 1 Analysis'!U$2:U$75," ")</f>
        <v>x</v>
      </c>
      <c r="Y92" s="42"/>
      <c r="Z92" s="42"/>
    </row>
    <row r="93" spans="1:26" ht="72" thickBot="1" x14ac:dyDescent="0.3">
      <c r="A93" s="10" t="s">
        <v>271</v>
      </c>
      <c r="B93" s="10" t="s">
        <v>272</v>
      </c>
      <c r="C93" s="10" t="s">
        <v>275</v>
      </c>
      <c r="D93" s="10" t="s">
        <v>276</v>
      </c>
      <c r="E93" s="10" t="s">
        <v>24</v>
      </c>
      <c r="F93" s="10" t="s">
        <v>16</v>
      </c>
      <c r="G93" s="10" t="s">
        <v>17</v>
      </c>
      <c r="H93" s="10" t="s">
        <v>18</v>
      </c>
      <c r="I93" s="10"/>
      <c r="J93" s="10"/>
      <c r="K93" s="10" t="s">
        <v>748</v>
      </c>
      <c r="L93" s="10" t="s">
        <v>779</v>
      </c>
      <c r="M93" s="41"/>
      <c r="N93" s="42"/>
      <c r="O93" s="42"/>
      <c r="P93" s="42"/>
      <c r="Q93" s="42" t="str">
        <f>_xlfn.XLOOKUP($C93,'IT Release 1 Analysis'!$C$2:$C$75,'IT Release 1 Analysis'!N$2:N$75," ")</f>
        <v>x</v>
      </c>
      <c r="R93" s="42"/>
      <c r="S93" s="42"/>
      <c r="T93" s="42"/>
      <c r="U93" s="42"/>
      <c r="V93" s="42" t="str">
        <f>_xlfn.XLOOKUP($C93,'IT Release 1 Analysis'!$C$2:$C$75,'IT Release 1 Analysis'!S$2:S$75," ")</f>
        <v>x</v>
      </c>
      <c r="W93" s="42" t="str">
        <f>_xlfn.XLOOKUP($C93,'IT Release 1 Analysis'!$C$2:$C$75,'IT Release 1 Analysis'!T$2:T$75," ")</f>
        <v>x</v>
      </c>
      <c r="X93" s="42" t="str">
        <f>_xlfn.XLOOKUP($C93,'IT Release 1 Analysis'!$C$2:$C$75,'IT Release 1 Analysis'!U$2:U$75," ")</f>
        <v>x</v>
      </c>
      <c r="Y93" s="42"/>
      <c r="Z93" s="42"/>
    </row>
    <row r="94" spans="1:26" ht="72" thickBot="1" x14ac:dyDescent="0.3">
      <c r="A94" s="10" t="s">
        <v>271</v>
      </c>
      <c r="B94" s="10" t="s">
        <v>272</v>
      </c>
      <c r="C94" s="10" t="s">
        <v>277</v>
      </c>
      <c r="D94" s="10" t="s">
        <v>278</v>
      </c>
      <c r="E94" s="10" t="s">
        <v>24</v>
      </c>
      <c r="F94" s="10" t="s">
        <v>16</v>
      </c>
      <c r="G94" s="10"/>
      <c r="H94" s="10"/>
      <c r="I94" s="10"/>
      <c r="J94" s="10"/>
      <c r="K94" s="10" t="s">
        <v>749</v>
      </c>
      <c r="L94" s="10" t="s">
        <v>779</v>
      </c>
      <c r="M94" s="41"/>
      <c r="N94" s="42"/>
      <c r="O94" s="42"/>
      <c r="P94" s="42"/>
      <c r="Q94" s="42" t="str">
        <f>_xlfn.XLOOKUP($C94,'IT Release 1 Analysis'!$C$2:$C$75,'IT Release 1 Analysis'!N$2:N$75," ")</f>
        <v>x</v>
      </c>
      <c r="R94" s="42"/>
      <c r="S94" s="42"/>
      <c r="T94" s="42"/>
      <c r="U94" s="42"/>
      <c r="V94" s="42" t="str">
        <f>_xlfn.XLOOKUP($C94,'IT Release 1 Analysis'!$C$2:$C$75,'IT Release 1 Analysis'!S$2:S$75," ")</f>
        <v>x</v>
      </c>
      <c r="W94" s="42" t="str">
        <f>_xlfn.XLOOKUP($C94,'IT Release 1 Analysis'!$C$2:$C$75,'IT Release 1 Analysis'!T$2:T$75," ")</f>
        <v>x</v>
      </c>
      <c r="X94" s="42" t="str">
        <f>_xlfn.XLOOKUP($C94,'IT Release 1 Analysis'!$C$2:$C$75,'IT Release 1 Analysis'!U$2:U$75," ")</f>
        <v>x</v>
      </c>
      <c r="Y94" s="42"/>
      <c r="Z94" s="42"/>
    </row>
    <row r="95" spans="1:26" ht="72" thickBot="1" x14ac:dyDescent="0.3">
      <c r="A95" s="10" t="s">
        <v>271</v>
      </c>
      <c r="B95" s="10" t="s">
        <v>272</v>
      </c>
      <c r="C95" s="10" t="s">
        <v>279</v>
      </c>
      <c r="D95" s="10" t="s">
        <v>280</v>
      </c>
      <c r="E95" s="10" t="s">
        <v>24</v>
      </c>
      <c r="F95" s="10" t="s">
        <v>71</v>
      </c>
      <c r="G95" s="10" t="s">
        <v>281</v>
      </c>
      <c r="H95" s="10" t="s">
        <v>45</v>
      </c>
      <c r="I95" s="10"/>
      <c r="J95" s="10"/>
      <c r="K95" s="10" t="s">
        <v>17</v>
      </c>
      <c r="L95" s="10" t="s">
        <v>779</v>
      </c>
      <c r="M95" s="41"/>
      <c r="N95" s="42"/>
      <c r="O95" s="42"/>
      <c r="P95" s="42"/>
      <c r="Q95" s="42"/>
      <c r="R95" s="42"/>
      <c r="S95" s="42"/>
      <c r="T95" s="42"/>
      <c r="U95" s="42"/>
      <c r="V95" s="42" t="str">
        <f>_xlfn.XLOOKUP($C95,'IT Release 1 Analysis'!$C$2:$C$75,'IT Release 1 Analysis'!S$2:S$75," ")</f>
        <v>x</v>
      </c>
      <c r="W95" s="42" t="str">
        <f>_xlfn.XLOOKUP($C95,'IT Release 1 Analysis'!$C$2:$C$75,'IT Release 1 Analysis'!T$2:T$75," ")</f>
        <v>x</v>
      </c>
      <c r="X95" s="42"/>
      <c r="Y95" s="42" t="str">
        <f>_xlfn.XLOOKUP($C95,'IT Release 1 Analysis'!$C$2:$C$75,'IT Release 1 Analysis'!V$2:V$75," ")</f>
        <v>x</v>
      </c>
      <c r="Z95" s="42"/>
    </row>
    <row r="96" spans="1:26" ht="72" thickBot="1" x14ac:dyDescent="0.3">
      <c r="A96" s="10" t="s">
        <v>271</v>
      </c>
      <c r="B96" s="10" t="s">
        <v>282</v>
      </c>
      <c r="C96" s="10" t="s">
        <v>283</v>
      </c>
      <c r="D96" s="10" t="s">
        <v>284</v>
      </c>
      <c r="E96" s="10" t="s">
        <v>15</v>
      </c>
      <c r="F96" s="10" t="s">
        <v>16</v>
      </c>
      <c r="G96" s="10" t="s">
        <v>17</v>
      </c>
      <c r="H96" s="10" t="s">
        <v>21</v>
      </c>
      <c r="I96" s="10"/>
      <c r="J96" s="10"/>
      <c r="K96" s="10" t="s">
        <v>750</v>
      </c>
      <c r="L96" s="10" t="s">
        <v>773</v>
      </c>
      <c r="M96" s="41"/>
      <c r="N96" s="42" t="str">
        <f>_xlfn.XLOOKUP($C96,'IT Release 1 Analysis'!$C$2:$C$75,'IT Release 1 Analysis'!K$2:K$75," ")</f>
        <v>x</v>
      </c>
      <c r="O96" s="42"/>
      <c r="P96" s="42"/>
      <c r="Q96" s="42"/>
      <c r="R96" s="42"/>
      <c r="S96" s="42"/>
      <c r="T96" s="42"/>
      <c r="U96" s="42"/>
      <c r="V96" s="42"/>
      <c r="W96" s="42"/>
      <c r="X96" s="42"/>
      <c r="Y96" s="42"/>
      <c r="Z96" s="42"/>
    </row>
    <row r="97" spans="1:26" ht="57.75" thickBot="1" x14ac:dyDescent="0.3">
      <c r="A97" s="10" t="s">
        <v>271</v>
      </c>
      <c r="B97" s="10" t="s">
        <v>282</v>
      </c>
      <c r="C97" s="10" t="s">
        <v>285</v>
      </c>
      <c r="D97" s="10" t="s">
        <v>286</v>
      </c>
      <c r="E97" s="10" t="s">
        <v>15</v>
      </c>
      <c r="F97" s="10" t="s">
        <v>16</v>
      </c>
      <c r="G97" s="10" t="s">
        <v>17</v>
      </c>
      <c r="H97" s="10" t="s">
        <v>21</v>
      </c>
      <c r="I97" s="10"/>
      <c r="J97" s="10"/>
      <c r="K97" s="10" t="s">
        <v>17</v>
      </c>
      <c r="L97" s="10" t="s">
        <v>773</v>
      </c>
      <c r="M97" s="41"/>
      <c r="N97" s="42" t="str">
        <f>_xlfn.XLOOKUP($C97,'IT Release 1 Analysis'!$C$2:$C$75,'IT Release 1 Analysis'!K$2:K$75," ")</f>
        <v>x</v>
      </c>
      <c r="O97" s="42"/>
      <c r="P97" s="42"/>
      <c r="Q97" s="42"/>
      <c r="R97" s="42"/>
      <c r="S97" s="42"/>
      <c r="T97" s="42"/>
      <c r="U97" s="42"/>
      <c r="V97" s="42"/>
      <c r="W97" s="42"/>
      <c r="X97" s="42"/>
      <c r="Y97" s="42"/>
      <c r="Z97" s="42"/>
    </row>
    <row r="98" spans="1:26" ht="72" thickBot="1" x14ac:dyDescent="0.3">
      <c r="A98" s="10" t="s">
        <v>271</v>
      </c>
      <c r="B98" s="10" t="s">
        <v>282</v>
      </c>
      <c r="C98" s="10" t="s">
        <v>714</v>
      </c>
      <c r="D98" s="10" t="s">
        <v>713</v>
      </c>
      <c r="E98" s="10" t="s">
        <v>24</v>
      </c>
      <c r="F98" s="10" t="s">
        <v>71</v>
      </c>
      <c r="G98" s="10" t="s">
        <v>288</v>
      </c>
      <c r="H98" s="10" t="s">
        <v>18</v>
      </c>
      <c r="I98" s="10"/>
      <c r="J98" s="10"/>
      <c r="K98" s="10" t="s">
        <v>751</v>
      </c>
      <c r="L98" s="10" t="s">
        <v>774</v>
      </c>
      <c r="M98" s="41"/>
      <c r="N98" s="42" t="str">
        <f>_xlfn.XLOOKUP($C98,'IT Release 1 Analysis'!$C$2:$C$75,'IT Release 1 Analysis'!K$2:K$75," ")</f>
        <v>x</v>
      </c>
      <c r="O98" s="42"/>
      <c r="P98" s="42"/>
      <c r="Q98" s="42"/>
      <c r="R98" s="42"/>
      <c r="S98" s="42"/>
      <c r="T98" s="42"/>
      <c r="U98" s="42"/>
      <c r="V98" s="42"/>
      <c r="W98" s="42"/>
      <c r="X98" s="42"/>
      <c r="Y98" s="42"/>
      <c r="Z98" s="42"/>
    </row>
    <row r="99" spans="1:26" ht="72" thickBot="1" x14ac:dyDescent="0.3">
      <c r="A99" s="10" t="s">
        <v>289</v>
      </c>
      <c r="B99" s="10" t="s">
        <v>290</v>
      </c>
      <c r="C99" s="10" t="s">
        <v>291</v>
      </c>
      <c r="D99" s="10" t="s">
        <v>292</v>
      </c>
      <c r="E99" s="10" t="s">
        <v>15</v>
      </c>
      <c r="F99" s="10" t="s">
        <v>293</v>
      </c>
      <c r="G99" s="10" t="s">
        <v>294</v>
      </c>
      <c r="H99" s="10" t="s">
        <v>18</v>
      </c>
      <c r="I99" s="10"/>
      <c r="J99" s="10"/>
      <c r="K99" s="10" t="s">
        <v>17</v>
      </c>
      <c r="L99" s="10" t="s">
        <v>779</v>
      </c>
      <c r="M99" s="41"/>
      <c r="N99" s="42" t="str">
        <f>_xlfn.XLOOKUP($C99,'IT Release 1 Analysis'!$C$2:$C$75,'IT Release 1 Analysis'!K$2:K$75," ")</f>
        <v>x</v>
      </c>
      <c r="O99" s="42"/>
      <c r="P99" s="42"/>
      <c r="Q99" s="42"/>
      <c r="R99" s="42"/>
      <c r="S99" s="42"/>
      <c r="T99" s="42"/>
      <c r="U99" s="42" t="str">
        <f>_xlfn.XLOOKUP($C99,'IT Release 1 Analysis'!$C$2:$C$75,'IT Release 1 Analysis'!R$2:R$75," ")</f>
        <v>x</v>
      </c>
      <c r="V99" s="42"/>
      <c r="W99" s="42"/>
      <c r="X99" s="42"/>
      <c r="Y99" s="42" t="str">
        <f>_xlfn.XLOOKUP($C99,'IT Release 1 Analysis'!$C$2:$C$75,'IT Release 1 Analysis'!V$2:V$75," ")</f>
        <v>x</v>
      </c>
      <c r="Z99" s="42"/>
    </row>
    <row r="100" spans="1:26" ht="72" thickBot="1" x14ac:dyDescent="0.3">
      <c r="A100" s="10" t="s">
        <v>289</v>
      </c>
      <c r="B100" s="10" t="s">
        <v>295</v>
      </c>
      <c r="C100" s="10" t="s">
        <v>296</v>
      </c>
      <c r="D100" s="10" t="s">
        <v>297</v>
      </c>
      <c r="E100" s="10" t="s">
        <v>15</v>
      </c>
      <c r="F100" s="10" t="s">
        <v>16</v>
      </c>
      <c r="G100" s="10"/>
      <c r="H100" s="10" t="s">
        <v>18</v>
      </c>
      <c r="I100" s="10"/>
      <c r="J100" s="10"/>
      <c r="K100" s="10" t="s">
        <v>17</v>
      </c>
      <c r="L100" s="10" t="s">
        <v>779</v>
      </c>
      <c r="M100" s="41"/>
      <c r="N100" s="42" t="str">
        <f>_xlfn.XLOOKUP($C100,'IT Release 1 Analysis'!$C$2:$C$75,'IT Release 1 Analysis'!K$2:K$75," ")</f>
        <v>x</v>
      </c>
      <c r="O100" s="42"/>
      <c r="P100" s="42"/>
      <c r="Q100" s="42"/>
      <c r="R100" s="42"/>
      <c r="S100" s="42"/>
      <c r="T100" s="42"/>
      <c r="U100" s="42" t="str">
        <f>_xlfn.XLOOKUP($C100,'IT Release 1 Analysis'!$C$2:$C$75,'IT Release 1 Analysis'!R$2:R$75," ")</f>
        <v>x</v>
      </c>
      <c r="V100" s="42"/>
      <c r="W100" s="42"/>
      <c r="X100" s="42"/>
      <c r="Y100" s="42" t="str">
        <f>_xlfn.XLOOKUP($C100,'IT Release 1 Analysis'!$C$2:$C$75,'IT Release 1 Analysis'!V$2:V$75," ")</f>
        <v>x</v>
      </c>
      <c r="Z100" s="42"/>
    </row>
    <row r="101" spans="1:26" ht="57.75" thickBot="1" x14ac:dyDescent="0.3">
      <c r="A101" s="10" t="s">
        <v>289</v>
      </c>
      <c r="B101" s="10" t="s">
        <v>298</v>
      </c>
      <c r="C101" s="10" t="s">
        <v>299</v>
      </c>
      <c r="D101" s="10" t="s">
        <v>300</v>
      </c>
      <c r="E101" s="10" t="s">
        <v>703</v>
      </c>
      <c r="F101" s="10" t="s">
        <v>176</v>
      </c>
      <c r="G101" s="10" t="s">
        <v>301</v>
      </c>
      <c r="H101" s="10" t="s">
        <v>18</v>
      </c>
      <c r="I101" s="10"/>
      <c r="J101" s="10"/>
      <c r="K101" s="10" t="s">
        <v>751</v>
      </c>
      <c r="L101" s="10" t="s">
        <v>776</v>
      </c>
      <c r="M101" s="41"/>
      <c r="N101" s="42" t="str">
        <f>_xlfn.XLOOKUP($C101,'IT Release 1 Analysis'!$C$2:$C$75,'IT Release 1 Analysis'!K$2:K$75," ")</f>
        <v>x</v>
      </c>
      <c r="O101" s="42"/>
      <c r="P101" s="42"/>
      <c r="Q101" s="42"/>
      <c r="R101" s="42"/>
      <c r="S101" s="42"/>
      <c r="T101" s="42"/>
      <c r="U101" s="42"/>
      <c r="V101" s="42"/>
      <c r="W101" s="42"/>
      <c r="X101" s="42"/>
      <c r="Y101" s="42" t="str">
        <f>_xlfn.XLOOKUP($C101,'IT Release 1 Analysis'!$C$2:$C$75,'IT Release 1 Analysis'!V$2:V$75," ")</f>
        <v>x</v>
      </c>
      <c r="Z101" s="42"/>
    </row>
    <row r="102" spans="1:26" ht="72" thickBot="1" x14ac:dyDescent="0.3">
      <c r="A102" s="10" t="s">
        <v>289</v>
      </c>
      <c r="B102" s="10" t="s">
        <v>302</v>
      </c>
      <c r="C102" s="10" t="s">
        <v>303</v>
      </c>
      <c r="D102" s="10" t="s">
        <v>304</v>
      </c>
      <c r="E102" s="10" t="s">
        <v>15</v>
      </c>
      <c r="F102" s="10" t="s">
        <v>293</v>
      </c>
      <c r="G102" s="10" t="s">
        <v>305</v>
      </c>
      <c r="H102" s="10" t="s">
        <v>18</v>
      </c>
      <c r="I102" s="10"/>
      <c r="J102" s="10"/>
      <c r="K102" s="10" t="s">
        <v>748</v>
      </c>
      <c r="L102" s="10" t="s">
        <v>779</v>
      </c>
      <c r="M102" s="41"/>
      <c r="N102" s="42" t="str">
        <f>_xlfn.XLOOKUP($C102,'IT Release 1 Analysis'!$C$2:$C$75,'IT Release 1 Analysis'!K$2:K$75," ")</f>
        <v>x</v>
      </c>
      <c r="O102" s="42"/>
      <c r="P102" s="42"/>
      <c r="Q102" s="42" t="str">
        <f>_xlfn.XLOOKUP($C102,'IT Release 1 Analysis'!$C$2:$C$75,'IT Release 1 Analysis'!N$2:N$75," ")</f>
        <v>x</v>
      </c>
      <c r="R102" s="42"/>
      <c r="S102" s="42"/>
      <c r="T102" s="42"/>
      <c r="U102" s="42" t="str">
        <f>_xlfn.XLOOKUP($C102,'IT Release 1 Analysis'!$C$2:$C$75,'IT Release 1 Analysis'!R$2:R$75," ")</f>
        <v>x</v>
      </c>
      <c r="V102" s="42"/>
      <c r="W102" s="42"/>
      <c r="X102" s="42"/>
      <c r="Y102" s="42"/>
      <c r="Z102" s="42"/>
    </row>
    <row r="103" spans="1:26" ht="157.5" thickBot="1" x14ac:dyDescent="0.3">
      <c r="A103" s="10" t="s">
        <v>289</v>
      </c>
      <c r="B103" s="10" t="s">
        <v>306</v>
      </c>
      <c r="C103" s="10" t="s">
        <v>307</v>
      </c>
      <c r="D103" s="12" t="s">
        <v>308</v>
      </c>
      <c r="E103" s="10" t="s">
        <v>309</v>
      </c>
      <c r="F103" s="10" t="s">
        <v>71</v>
      </c>
      <c r="G103" s="10" t="s">
        <v>310</v>
      </c>
      <c r="H103" s="10" t="s">
        <v>18</v>
      </c>
      <c r="I103" s="10"/>
      <c r="J103" s="10"/>
      <c r="K103" s="10" t="s">
        <v>17</v>
      </c>
      <c r="L103" s="10" t="s">
        <v>779</v>
      </c>
      <c r="M103" s="41"/>
      <c r="N103" s="42" t="str">
        <f>_xlfn.XLOOKUP($C103,'IT Release 1 Analysis'!$C$2:$C$75,'IT Release 1 Analysis'!K$2:K$75," ")</f>
        <v>x</v>
      </c>
      <c r="O103" s="42"/>
      <c r="P103" s="42"/>
      <c r="Q103" s="42"/>
      <c r="R103" s="42"/>
      <c r="S103" s="42"/>
      <c r="T103" s="42"/>
      <c r="U103" s="42"/>
      <c r="V103" s="42"/>
      <c r="W103" s="42"/>
      <c r="X103" s="42"/>
      <c r="Y103" s="42" t="str">
        <f>_xlfn.XLOOKUP($C103,'IT Release 1 Analysis'!$C$2:$C$75,'IT Release 1 Analysis'!V$2:V$75," ")</f>
        <v>x</v>
      </c>
      <c r="Z103" s="42"/>
    </row>
    <row r="104" spans="1:26" ht="72" thickBot="1" x14ac:dyDescent="0.3">
      <c r="A104" s="10" t="s">
        <v>289</v>
      </c>
      <c r="B104" s="10" t="s">
        <v>311</v>
      </c>
      <c r="C104" s="10" t="s">
        <v>312</v>
      </c>
      <c r="D104" s="10" t="s">
        <v>313</v>
      </c>
      <c r="E104" s="10" t="s">
        <v>186</v>
      </c>
      <c r="F104" s="10" t="s">
        <v>16</v>
      </c>
      <c r="G104" s="10" t="s">
        <v>17</v>
      </c>
      <c r="H104" s="10" t="s">
        <v>45</v>
      </c>
      <c r="I104" s="10"/>
      <c r="J104" s="10"/>
      <c r="K104" s="10" t="s">
        <v>17</v>
      </c>
      <c r="L104" s="10" t="s">
        <v>779</v>
      </c>
      <c r="M104" s="41"/>
      <c r="N104" s="42" t="str">
        <f>_xlfn.XLOOKUP($C104,'IT Release 1 Analysis'!$C$2:$C$75,'IT Release 1 Analysis'!K$2:K$75," ")</f>
        <v xml:space="preserve"> </v>
      </c>
      <c r="O104" s="42" t="str">
        <f>_xlfn.XLOOKUP($C104,'IT Release 1 Analysis'!$C$2:$C$75,'IT Release 1 Analysis'!L$2:L$75," ")</f>
        <v xml:space="preserve"> </v>
      </c>
      <c r="P104" s="42" t="str">
        <f>_xlfn.XLOOKUP($C104,'IT Release 1 Analysis'!$C$2:$C$75,'IT Release 1 Analysis'!M$2:M$75," ")</f>
        <v xml:space="preserve"> </v>
      </c>
      <c r="Q104" s="42" t="str">
        <f>_xlfn.XLOOKUP($C104,'IT Release 1 Analysis'!$C$2:$C$75,'IT Release 1 Analysis'!N$2:N$75," ")</f>
        <v xml:space="preserve"> </v>
      </c>
      <c r="R104" s="42" t="str">
        <f>_xlfn.XLOOKUP($C104,'IT Release 1 Analysis'!$C$2:$C$75,'IT Release 1 Analysis'!O$2:O$75," ")</f>
        <v xml:space="preserve"> </v>
      </c>
      <c r="S104" s="42" t="str">
        <f>_xlfn.XLOOKUP($C104,'IT Release 1 Analysis'!$C$2:$C$75,'IT Release 1 Analysis'!P$2:P$75," ")</f>
        <v xml:space="preserve"> </v>
      </c>
      <c r="T104" s="42" t="str">
        <f>_xlfn.XLOOKUP($C104,'IT Release 1 Analysis'!$C$2:$C$75,'IT Release 1 Analysis'!Q$2:Q$75," ")</f>
        <v xml:space="preserve"> </v>
      </c>
      <c r="U104" s="42" t="str">
        <f>_xlfn.XLOOKUP($C104,'IT Release 1 Analysis'!$C$2:$C$75,'IT Release 1 Analysis'!R$2:R$75," ")</f>
        <v xml:space="preserve"> </v>
      </c>
      <c r="V104" s="42" t="str">
        <f>_xlfn.XLOOKUP($C104,'IT Release 1 Analysis'!$C$2:$C$75,'IT Release 1 Analysis'!S$2:S$75," ")</f>
        <v xml:space="preserve"> </v>
      </c>
      <c r="W104" s="42" t="str">
        <f>_xlfn.XLOOKUP($C104,'IT Release 1 Analysis'!$C$2:$C$75,'IT Release 1 Analysis'!T$2:T$75," ")</f>
        <v xml:space="preserve"> </v>
      </c>
      <c r="X104" s="42" t="str">
        <f>_xlfn.XLOOKUP($C104,'IT Release 1 Analysis'!$C$2:$C$75,'IT Release 1 Analysis'!U$2:U$75," ")</f>
        <v xml:space="preserve"> </v>
      </c>
      <c r="Y104" s="42" t="str">
        <f>_xlfn.XLOOKUP($C104,'IT Release 1 Analysis'!$C$2:$C$75,'IT Release 1 Analysis'!V$2:V$75," ")</f>
        <v xml:space="preserve"> </v>
      </c>
      <c r="Z104" s="42" t="str">
        <f>_xlfn.XLOOKUP($C104,'IT Release 1 Analysis'!$C$2:$C$75,'IT Release 1 Analysis'!W$2:W$75," ")</f>
        <v xml:space="preserve"> </v>
      </c>
    </row>
    <row r="105" spans="1:26" ht="100.5" thickBot="1" x14ac:dyDescent="0.3">
      <c r="A105" s="10" t="s">
        <v>289</v>
      </c>
      <c r="B105" s="10" t="s">
        <v>298</v>
      </c>
      <c r="C105" s="10" t="s">
        <v>314</v>
      </c>
      <c r="D105" s="12" t="s">
        <v>315</v>
      </c>
      <c r="E105" s="10" t="s">
        <v>316</v>
      </c>
      <c r="F105" s="10" t="s">
        <v>125</v>
      </c>
      <c r="G105" s="10" t="s">
        <v>17</v>
      </c>
      <c r="H105" s="10" t="s">
        <v>45</v>
      </c>
      <c r="I105" s="10"/>
      <c r="J105" s="10"/>
      <c r="K105" s="10" t="s">
        <v>17</v>
      </c>
      <c r="L105" s="10" t="s">
        <v>783</v>
      </c>
      <c r="M105" s="41"/>
      <c r="N105" s="42" t="str">
        <f>_xlfn.XLOOKUP($C105,'IT Release 1 Analysis'!$C$2:$C$75,'IT Release 1 Analysis'!K$2:K$75," ")</f>
        <v xml:space="preserve"> </v>
      </c>
      <c r="O105" s="42" t="str">
        <f>_xlfn.XLOOKUP($C105,'IT Release 1 Analysis'!$C$2:$C$75,'IT Release 1 Analysis'!L$2:L$75," ")</f>
        <v xml:space="preserve"> </v>
      </c>
      <c r="P105" s="42" t="str">
        <f>_xlfn.XLOOKUP($C105,'IT Release 1 Analysis'!$C$2:$C$75,'IT Release 1 Analysis'!M$2:M$75," ")</f>
        <v xml:space="preserve"> </v>
      </c>
      <c r="Q105" s="42" t="str">
        <f>_xlfn.XLOOKUP($C105,'IT Release 1 Analysis'!$C$2:$C$75,'IT Release 1 Analysis'!N$2:N$75," ")</f>
        <v xml:space="preserve"> </v>
      </c>
      <c r="R105" s="42" t="str">
        <f>_xlfn.XLOOKUP($C105,'IT Release 1 Analysis'!$C$2:$C$75,'IT Release 1 Analysis'!O$2:O$75," ")</f>
        <v xml:space="preserve"> </v>
      </c>
      <c r="S105" s="42" t="str">
        <f>_xlfn.XLOOKUP($C105,'IT Release 1 Analysis'!$C$2:$C$75,'IT Release 1 Analysis'!P$2:P$75," ")</f>
        <v xml:space="preserve"> </v>
      </c>
      <c r="T105" s="42" t="str">
        <f>_xlfn.XLOOKUP($C105,'IT Release 1 Analysis'!$C$2:$C$75,'IT Release 1 Analysis'!Q$2:Q$75," ")</f>
        <v xml:space="preserve"> </v>
      </c>
      <c r="U105" s="42" t="str">
        <f>_xlfn.XLOOKUP($C105,'IT Release 1 Analysis'!$C$2:$C$75,'IT Release 1 Analysis'!R$2:R$75," ")</f>
        <v xml:space="preserve"> </v>
      </c>
      <c r="V105" s="42" t="str">
        <f>_xlfn.XLOOKUP($C105,'IT Release 1 Analysis'!$C$2:$C$75,'IT Release 1 Analysis'!S$2:S$75," ")</f>
        <v xml:space="preserve"> </v>
      </c>
      <c r="W105" s="42" t="str">
        <f>_xlfn.XLOOKUP($C105,'IT Release 1 Analysis'!$C$2:$C$75,'IT Release 1 Analysis'!T$2:T$75," ")</f>
        <v xml:space="preserve"> </v>
      </c>
      <c r="X105" s="42" t="str">
        <f>_xlfn.XLOOKUP($C105,'IT Release 1 Analysis'!$C$2:$C$75,'IT Release 1 Analysis'!U$2:U$75," ")</f>
        <v xml:space="preserve"> </v>
      </c>
      <c r="Y105" s="42" t="str">
        <f>_xlfn.XLOOKUP($C105,'IT Release 1 Analysis'!$C$2:$C$75,'IT Release 1 Analysis'!V$2:V$75," ")</f>
        <v xml:space="preserve"> </v>
      </c>
      <c r="Z105" s="42" t="str">
        <f>_xlfn.XLOOKUP($C105,'IT Release 1 Analysis'!$C$2:$C$75,'IT Release 1 Analysis'!W$2:W$75," ")</f>
        <v xml:space="preserve"> </v>
      </c>
    </row>
    <row r="106" spans="1:26" ht="90" thickBot="1" x14ac:dyDescent="0.3">
      <c r="A106" s="10" t="s">
        <v>289</v>
      </c>
      <c r="B106" s="10" t="s">
        <v>317</v>
      </c>
      <c r="C106" s="10" t="s">
        <v>318</v>
      </c>
      <c r="D106" s="10" t="s">
        <v>319</v>
      </c>
      <c r="E106" s="10" t="s">
        <v>320</v>
      </c>
      <c r="F106" s="10" t="s">
        <v>125</v>
      </c>
      <c r="G106" s="10" t="s">
        <v>17</v>
      </c>
      <c r="H106" s="10" t="s">
        <v>18</v>
      </c>
      <c r="I106" s="10"/>
      <c r="J106" s="10"/>
      <c r="K106" s="10" t="s">
        <v>17</v>
      </c>
      <c r="L106" s="10" t="s">
        <v>783</v>
      </c>
      <c r="M106" s="41"/>
      <c r="N106" s="42" t="str">
        <f>_xlfn.XLOOKUP($C106,'IT Release 1 Analysis'!$C$2:$C$75,'IT Release 1 Analysis'!K$2:K$75," ")</f>
        <v xml:space="preserve"> </v>
      </c>
      <c r="O106" s="42" t="str">
        <f>_xlfn.XLOOKUP($C106,'IT Release 1 Analysis'!$C$2:$C$75,'IT Release 1 Analysis'!L$2:L$75," ")</f>
        <v xml:space="preserve"> </v>
      </c>
      <c r="P106" s="42" t="str">
        <f>_xlfn.XLOOKUP($C106,'IT Release 1 Analysis'!$C$2:$C$75,'IT Release 1 Analysis'!M$2:M$75," ")</f>
        <v xml:space="preserve"> </v>
      </c>
      <c r="Q106" s="42" t="str">
        <f>_xlfn.XLOOKUP($C106,'IT Release 1 Analysis'!$C$2:$C$75,'IT Release 1 Analysis'!N$2:N$75," ")</f>
        <v xml:space="preserve"> </v>
      </c>
      <c r="R106" s="42" t="str">
        <f>_xlfn.XLOOKUP($C106,'IT Release 1 Analysis'!$C$2:$C$75,'IT Release 1 Analysis'!O$2:O$75," ")</f>
        <v xml:space="preserve"> </v>
      </c>
      <c r="S106" s="42" t="str">
        <f>_xlfn.XLOOKUP($C106,'IT Release 1 Analysis'!$C$2:$C$75,'IT Release 1 Analysis'!P$2:P$75," ")</f>
        <v xml:space="preserve"> </v>
      </c>
      <c r="T106" s="42" t="str">
        <f>_xlfn.XLOOKUP($C106,'IT Release 1 Analysis'!$C$2:$C$75,'IT Release 1 Analysis'!Q$2:Q$75," ")</f>
        <v xml:space="preserve"> </v>
      </c>
      <c r="U106" s="42" t="str">
        <f>_xlfn.XLOOKUP($C106,'IT Release 1 Analysis'!$C$2:$C$75,'IT Release 1 Analysis'!R$2:R$75," ")</f>
        <v xml:space="preserve"> </v>
      </c>
      <c r="V106" s="42" t="str">
        <f>_xlfn.XLOOKUP($C106,'IT Release 1 Analysis'!$C$2:$C$75,'IT Release 1 Analysis'!S$2:S$75," ")</f>
        <v xml:space="preserve"> </v>
      </c>
      <c r="W106" s="42" t="str">
        <f>_xlfn.XLOOKUP($C106,'IT Release 1 Analysis'!$C$2:$C$75,'IT Release 1 Analysis'!T$2:T$75," ")</f>
        <v xml:space="preserve"> </v>
      </c>
      <c r="X106" s="42" t="str">
        <f>_xlfn.XLOOKUP($C106,'IT Release 1 Analysis'!$C$2:$C$75,'IT Release 1 Analysis'!U$2:U$75," ")</f>
        <v xml:space="preserve"> </v>
      </c>
      <c r="Y106" s="42" t="str">
        <f>_xlfn.XLOOKUP($C106,'IT Release 1 Analysis'!$C$2:$C$75,'IT Release 1 Analysis'!V$2:V$75," ")</f>
        <v xml:space="preserve"> </v>
      </c>
      <c r="Z106" s="42" t="str">
        <f>_xlfn.XLOOKUP($C106,'IT Release 1 Analysis'!$C$2:$C$75,'IT Release 1 Analysis'!W$2:W$75," ")</f>
        <v xml:space="preserve"> </v>
      </c>
    </row>
    <row r="107" spans="1:26" ht="75.75" thickBot="1" x14ac:dyDescent="0.3">
      <c r="A107" s="10" t="s">
        <v>289</v>
      </c>
      <c r="B107" s="10" t="s">
        <v>317</v>
      </c>
      <c r="C107" s="10" t="s">
        <v>321</v>
      </c>
      <c r="D107" s="10" t="s">
        <v>322</v>
      </c>
      <c r="E107" s="10" t="s">
        <v>270</v>
      </c>
      <c r="F107" s="10" t="s">
        <v>125</v>
      </c>
      <c r="G107" s="10" t="s">
        <v>17</v>
      </c>
      <c r="H107" s="10" t="s">
        <v>18</v>
      </c>
      <c r="I107" s="10"/>
      <c r="J107" s="10"/>
      <c r="K107" s="10" t="s">
        <v>17</v>
      </c>
      <c r="L107" s="10" t="s">
        <v>783</v>
      </c>
      <c r="M107" s="41"/>
      <c r="N107" s="42" t="str">
        <f>_xlfn.XLOOKUP($C107,'IT Release 1 Analysis'!$C$2:$C$75,'IT Release 1 Analysis'!K$2:K$75," ")</f>
        <v xml:space="preserve"> </v>
      </c>
      <c r="O107" s="42" t="str">
        <f>_xlfn.XLOOKUP($C107,'IT Release 1 Analysis'!$C$2:$C$75,'IT Release 1 Analysis'!L$2:L$75," ")</f>
        <v xml:space="preserve"> </v>
      </c>
      <c r="P107" s="42" t="str">
        <f>_xlfn.XLOOKUP($C107,'IT Release 1 Analysis'!$C$2:$C$75,'IT Release 1 Analysis'!M$2:M$75," ")</f>
        <v xml:space="preserve"> </v>
      </c>
      <c r="Q107" s="42" t="str">
        <f>_xlfn.XLOOKUP($C107,'IT Release 1 Analysis'!$C$2:$C$75,'IT Release 1 Analysis'!N$2:N$75," ")</f>
        <v xml:space="preserve"> </v>
      </c>
      <c r="R107" s="42" t="str">
        <f>_xlfn.XLOOKUP($C107,'IT Release 1 Analysis'!$C$2:$C$75,'IT Release 1 Analysis'!O$2:O$75," ")</f>
        <v xml:space="preserve"> </v>
      </c>
      <c r="S107" s="42" t="str">
        <f>_xlfn.XLOOKUP($C107,'IT Release 1 Analysis'!$C$2:$C$75,'IT Release 1 Analysis'!P$2:P$75," ")</f>
        <v xml:space="preserve"> </v>
      </c>
      <c r="T107" s="42" t="str">
        <f>_xlfn.XLOOKUP($C107,'IT Release 1 Analysis'!$C$2:$C$75,'IT Release 1 Analysis'!Q$2:Q$75," ")</f>
        <v xml:space="preserve"> </v>
      </c>
      <c r="U107" s="42" t="str">
        <f>_xlfn.XLOOKUP($C107,'IT Release 1 Analysis'!$C$2:$C$75,'IT Release 1 Analysis'!R$2:R$75," ")</f>
        <v xml:space="preserve"> </v>
      </c>
      <c r="V107" s="42" t="str">
        <f>_xlfn.XLOOKUP($C107,'IT Release 1 Analysis'!$C$2:$C$75,'IT Release 1 Analysis'!S$2:S$75," ")</f>
        <v xml:space="preserve"> </v>
      </c>
      <c r="W107" s="42" t="str">
        <f>_xlfn.XLOOKUP($C107,'IT Release 1 Analysis'!$C$2:$C$75,'IT Release 1 Analysis'!T$2:T$75," ")</f>
        <v xml:space="preserve"> </v>
      </c>
      <c r="X107" s="42" t="str">
        <f>_xlfn.XLOOKUP($C107,'IT Release 1 Analysis'!$C$2:$C$75,'IT Release 1 Analysis'!U$2:U$75," ")</f>
        <v xml:space="preserve"> </v>
      </c>
      <c r="Y107" s="42" t="str">
        <f>_xlfn.XLOOKUP($C107,'IT Release 1 Analysis'!$C$2:$C$75,'IT Release 1 Analysis'!V$2:V$75," ")</f>
        <v xml:space="preserve"> </v>
      </c>
      <c r="Z107" s="42" t="str">
        <f>_xlfn.XLOOKUP($C107,'IT Release 1 Analysis'!$C$2:$C$75,'IT Release 1 Analysis'!W$2:W$75," ")</f>
        <v xml:space="preserve"> </v>
      </c>
    </row>
    <row r="108" spans="1:26" ht="86.25" thickBot="1" x14ac:dyDescent="0.3">
      <c r="A108" s="10" t="s">
        <v>289</v>
      </c>
      <c r="B108" s="10" t="s">
        <v>298</v>
      </c>
      <c r="C108" s="10" t="s">
        <v>323</v>
      </c>
      <c r="D108" s="12" t="s">
        <v>324</v>
      </c>
      <c r="E108" s="10" t="s">
        <v>325</v>
      </c>
      <c r="F108" s="10" t="s">
        <v>125</v>
      </c>
      <c r="G108" s="10" t="s">
        <v>17</v>
      </c>
      <c r="H108" s="10" t="s">
        <v>45</v>
      </c>
      <c r="I108" s="10"/>
      <c r="J108" s="10"/>
      <c r="K108" s="10" t="s">
        <v>17</v>
      </c>
      <c r="L108" s="10" t="s">
        <v>783</v>
      </c>
      <c r="M108" s="41"/>
      <c r="N108" s="42" t="str">
        <f>_xlfn.XLOOKUP($C108,'IT Release 1 Analysis'!$C$2:$C$75,'IT Release 1 Analysis'!K$2:K$75," ")</f>
        <v xml:space="preserve"> </v>
      </c>
      <c r="O108" s="42" t="str">
        <f>_xlfn.XLOOKUP($C108,'IT Release 1 Analysis'!$C$2:$C$75,'IT Release 1 Analysis'!L$2:L$75," ")</f>
        <v xml:space="preserve"> </v>
      </c>
      <c r="P108" s="42" t="str">
        <f>_xlfn.XLOOKUP($C108,'IT Release 1 Analysis'!$C$2:$C$75,'IT Release 1 Analysis'!M$2:M$75," ")</f>
        <v xml:space="preserve"> </v>
      </c>
      <c r="Q108" s="42" t="str">
        <f>_xlfn.XLOOKUP($C108,'IT Release 1 Analysis'!$C$2:$C$75,'IT Release 1 Analysis'!N$2:N$75," ")</f>
        <v xml:space="preserve"> </v>
      </c>
      <c r="R108" s="42" t="str">
        <f>_xlfn.XLOOKUP($C108,'IT Release 1 Analysis'!$C$2:$C$75,'IT Release 1 Analysis'!O$2:O$75," ")</f>
        <v xml:space="preserve"> </v>
      </c>
      <c r="S108" s="42" t="str">
        <f>_xlfn.XLOOKUP($C108,'IT Release 1 Analysis'!$C$2:$C$75,'IT Release 1 Analysis'!P$2:P$75," ")</f>
        <v xml:space="preserve"> </v>
      </c>
      <c r="T108" s="42" t="str">
        <f>_xlfn.XLOOKUP($C108,'IT Release 1 Analysis'!$C$2:$C$75,'IT Release 1 Analysis'!Q$2:Q$75," ")</f>
        <v xml:space="preserve"> </v>
      </c>
      <c r="U108" s="42" t="str">
        <f>_xlfn.XLOOKUP($C108,'IT Release 1 Analysis'!$C$2:$C$75,'IT Release 1 Analysis'!R$2:R$75," ")</f>
        <v xml:space="preserve"> </v>
      </c>
      <c r="V108" s="42" t="str">
        <f>_xlfn.XLOOKUP($C108,'IT Release 1 Analysis'!$C$2:$C$75,'IT Release 1 Analysis'!S$2:S$75," ")</f>
        <v xml:space="preserve"> </v>
      </c>
      <c r="W108" s="42" t="str">
        <f>_xlfn.XLOOKUP($C108,'IT Release 1 Analysis'!$C$2:$C$75,'IT Release 1 Analysis'!T$2:T$75," ")</f>
        <v xml:space="preserve"> </v>
      </c>
      <c r="X108" s="42" t="str">
        <f>_xlfn.XLOOKUP($C108,'IT Release 1 Analysis'!$C$2:$C$75,'IT Release 1 Analysis'!U$2:U$75," ")</f>
        <v xml:space="preserve"> </v>
      </c>
      <c r="Y108" s="42" t="str">
        <f>_xlfn.XLOOKUP($C108,'IT Release 1 Analysis'!$C$2:$C$75,'IT Release 1 Analysis'!V$2:V$75," ")</f>
        <v xml:space="preserve"> </v>
      </c>
      <c r="Z108" s="42" t="str">
        <f>_xlfn.XLOOKUP($C108,'IT Release 1 Analysis'!$C$2:$C$75,'IT Release 1 Analysis'!W$2:W$75," ")</f>
        <v xml:space="preserve"> </v>
      </c>
    </row>
    <row r="109" spans="1:26" ht="15.75" thickBot="1" x14ac:dyDescent="0.3">
      <c r="K109" s="10"/>
    </row>
    <row r="1048543" spans="12:13" ht="15.75" thickBot="1" x14ac:dyDescent="0.3"/>
    <row r="1048544" spans="12:13" ht="15.75" thickBot="1" x14ac:dyDescent="0.3">
      <c r="L1048544" s="39"/>
      <c r="M1048544" s="39"/>
    </row>
    <row r="1048545" spans="12:13" ht="15.75" thickBot="1" x14ac:dyDescent="0.3">
      <c r="L1048545" s="10"/>
      <c r="M1048545" s="10"/>
    </row>
    <row r="1048546" spans="12:13" ht="15.75" thickBot="1" x14ac:dyDescent="0.3">
      <c r="L1048546" s="10"/>
      <c r="M1048546" s="10"/>
    </row>
    <row r="1048547" spans="12:13" ht="15.75" thickBot="1" x14ac:dyDescent="0.3">
      <c r="L1048547" s="10"/>
      <c r="M1048547" s="10"/>
    </row>
    <row r="1048548" spans="12:13" ht="15.75" thickBot="1" x14ac:dyDescent="0.3">
      <c r="L1048548" s="10"/>
      <c r="M1048548" s="10"/>
    </row>
    <row r="1048549" spans="12:13" ht="15.75" thickBot="1" x14ac:dyDescent="0.3">
      <c r="L1048549" s="10"/>
      <c r="M1048549" s="10"/>
    </row>
    <row r="1048550" spans="12:13" ht="15.75" thickBot="1" x14ac:dyDescent="0.3">
      <c r="L1048550" s="10"/>
      <c r="M1048550" s="10"/>
    </row>
    <row r="1048551" spans="12:13" ht="15.75" thickBot="1" x14ac:dyDescent="0.3">
      <c r="L1048551" s="10"/>
      <c r="M1048551" s="10"/>
    </row>
    <row r="1048552" spans="12:13" ht="15.75" thickBot="1" x14ac:dyDescent="0.3">
      <c r="L1048552" s="10"/>
      <c r="M1048552" s="10"/>
    </row>
    <row r="1048553" spans="12:13" ht="15.75" thickBot="1" x14ac:dyDescent="0.3">
      <c r="L1048553" s="10"/>
      <c r="M1048553" s="10"/>
    </row>
    <row r="1048554" spans="12:13" ht="15.75" thickBot="1" x14ac:dyDescent="0.3">
      <c r="L1048554" s="10"/>
      <c r="M1048554" s="10"/>
    </row>
    <row r="1048555" spans="12:13" ht="15.75" thickBot="1" x14ac:dyDescent="0.3">
      <c r="L1048555" s="10"/>
      <c r="M1048555" s="10"/>
    </row>
    <row r="1048556" spans="12:13" ht="15.75" thickBot="1" x14ac:dyDescent="0.3">
      <c r="L1048556" s="10"/>
      <c r="M1048556" s="10"/>
    </row>
    <row r="1048557" spans="12:13" ht="15.75" thickBot="1" x14ac:dyDescent="0.3">
      <c r="L1048557" s="10"/>
      <c r="M1048557" s="10"/>
    </row>
    <row r="1048558" spans="12:13" ht="15.75" thickBot="1" x14ac:dyDescent="0.3">
      <c r="L1048558" s="10"/>
      <c r="M1048558" s="10"/>
    </row>
    <row r="1048559" spans="12:13" ht="15.75" thickBot="1" x14ac:dyDescent="0.3">
      <c r="L1048559" s="10"/>
      <c r="M1048559" s="10"/>
    </row>
    <row r="1048560" spans="12:13" ht="15.75" thickBot="1" x14ac:dyDescent="0.3">
      <c r="L1048560" s="10"/>
      <c r="M1048560" s="10"/>
    </row>
    <row r="1048561" spans="12:13" ht="15.75" thickBot="1" x14ac:dyDescent="0.3">
      <c r="L1048561" s="10"/>
      <c r="M1048561" s="10"/>
    </row>
    <row r="1048562" spans="12:13" ht="15.75" thickBot="1" x14ac:dyDescent="0.3">
      <c r="L1048562" s="10"/>
      <c r="M1048562" s="10"/>
    </row>
    <row r="1048563" spans="12:13" ht="15.75" thickBot="1" x14ac:dyDescent="0.3">
      <c r="L1048563" s="10"/>
      <c r="M1048563" s="10"/>
    </row>
    <row r="1048564" spans="12:13" ht="15.75" thickBot="1" x14ac:dyDescent="0.3">
      <c r="L1048564" s="10"/>
      <c r="M1048564" s="10"/>
    </row>
    <row r="1048565" spans="12:13" ht="15.75" thickBot="1" x14ac:dyDescent="0.3">
      <c r="L1048565" s="10"/>
      <c r="M1048565" s="10"/>
    </row>
    <row r="1048566" spans="12:13" ht="15.75" thickBot="1" x14ac:dyDescent="0.3">
      <c r="L1048566" s="10"/>
      <c r="M1048566" s="10"/>
    </row>
    <row r="1048567" spans="12:13" ht="15.75" thickBot="1" x14ac:dyDescent="0.3">
      <c r="L1048567" s="10"/>
      <c r="M1048567" s="10"/>
    </row>
    <row r="1048568" spans="12:13" ht="15.75" thickBot="1" x14ac:dyDescent="0.3">
      <c r="L1048568" s="10"/>
      <c r="M1048568" s="10"/>
    </row>
    <row r="1048569" spans="12:13" ht="15.75" thickBot="1" x14ac:dyDescent="0.3">
      <c r="L1048569" s="10"/>
      <c r="M1048569" s="10"/>
    </row>
    <row r="1048570" spans="12:13" ht="15.75" thickBot="1" x14ac:dyDescent="0.3">
      <c r="L1048570" s="10"/>
      <c r="M1048570" s="10"/>
    </row>
    <row r="1048571" spans="12:13" ht="15.75" thickBot="1" x14ac:dyDescent="0.3">
      <c r="L1048571" s="10"/>
      <c r="M1048571" s="10"/>
    </row>
    <row r="1048572" spans="12:13" ht="15.75" thickBot="1" x14ac:dyDescent="0.3">
      <c r="L1048572" s="10"/>
      <c r="M1048572" s="10"/>
    </row>
    <row r="1048573" spans="12:13" ht="15.75" thickBot="1" x14ac:dyDescent="0.3">
      <c r="L1048573" s="10"/>
      <c r="M1048573" s="10"/>
    </row>
    <row r="1048574" spans="12:13" ht="15.75" thickBot="1" x14ac:dyDescent="0.3">
      <c r="L1048574" s="10"/>
      <c r="M1048574" s="10"/>
    </row>
    <row r="1048575" spans="12:13" ht="15.75" thickBot="1" x14ac:dyDescent="0.3">
      <c r="L1048575" s="10"/>
      <c r="M1048575" s="10"/>
    </row>
  </sheetData>
  <autoFilter ref="A1:Z108"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958D3-D4AB-4CCA-8CDA-9E2E40213694}">
  <dimension ref="A1:X75"/>
  <sheetViews>
    <sheetView zoomScale="30" zoomScaleNormal="30" workbookViewId="0">
      <selection activeCell="K6" sqref="K6"/>
    </sheetView>
  </sheetViews>
  <sheetFormatPr defaultRowHeight="15" x14ac:dyDescent="0.25"/>
  <cols>
    <col min="1" max="1" width="22.140625" customWidth="1"/>
    <col min="2" max="2" width="35.85546875" customWidth="1"/>
    <col min="3" max="3" width="39.140625" customWidth="1"/>
    <col min="4" max="4" width="76" customWidth="1"/>
    <col min="5" max="5" width="29.5703125" customWidth="1"/>
    <col min="6" max="7" width="22.42578125" customWidth="1"/>
    <col min="8" max="8" width="40.140625" customWidth="1"/>
    <col min="9" max="10" width="22.42578125" customWidth="1"/>
    <col min="11" max="11" width="20.85546875" style="8" customWidth="1"/>
    <col min="12" max="12" width="10.42578125" style="8" bestFit="1" customWidth="1"/>
    <col min="13" max="13" width="35.5703125" style="8" bestFit="1" customWidth="1"/>
    <col min="14" max="14" width="13.85546875" style="8" bestFit="1" customWidth="1"/>
    <col min="15" max="15" width="10" style="8" bestFit="1" customWidth="1"/>
    <col min="16" max="16" width="14.140625" style="8" bestFit="1" customWidth="1"/>
    <col min="17" max="17" width="15.28515625" style="8" bestFit="1" customWidth="1"/>
    <col min="18" max="18" width="5.140625" style="8" bestFit="1" customWidth="1"/>
    <col min="19" max="19" width="22.7109375" style="8" bestFit="1" customWidth="1"/>
    <col min="20" max="20" width="28.42578125" style="8" bestFit="1" customWidth="1"/>
    <col min="21" max="21" width="11.42578125" style="8" bestFit="1" customWidth="1"/>
    <col min="22" max="22" width="18.140625" style="8" customWidth="1"/>
    <col min="23" max="23" width="22.7109375" style="8" customWidth="1"/>
    <col min="16376" max="16376" width="9.140625" bestFit="1" customWidth="1"/>
    <col min="16377" max="16384" width="9.140625" customWidth="1"/>
  </cols>
  <sheetData>
    <row r="1" spans="1:24" ht="92.45" customHeight="1" thickBot="1" x14ac:dyDescent="0.3">
      <c r="A1" s="18" t="s">
        <v>0</v>
      </c>
      <c r="B1" s="18" t="s">
        <v>1</v>
      </c>
      <c r="C1" s="18" t="s">
        <v>2</v>
      </c>
      <c r="D1" s="18" t="s">
        <v>3</v>
      </c>
      <c r="E1" s="18" t="s">
        <v>4</v>
      </c>
      <c r="F1" s="18" t="s">
        <v>5</v>
      </c>
      <c r="G1" s="18" t="s">
        <v>756</v>
      </c>
      <c r="H1" s="18" t="s">
        <v>6</v>
      </c>
      <c r="I1" s="19" t="s">
        <v>7</v>
      </c>
      <c r="J1" s="20" t="s">
        <v>757</v>
      </c>
      <c r="K1" s="21" t="s">
        <v>758</v>
      </c>
      <c r="L1" s="21" t="s">
        <v>759</v>
      </c>
      <c r="M1" s="21" t="s">
        <v>760</v>
      </c>
      <c r="N1" s="21" t="s">
        <v>761</v>
      </c>
      <c r="O1" s="21" t="s">
        <v>762</v>
      </c>
      <c r="P1" s="21" t="s">
        <v>763</v>
      </c>
      <c r="Q1" s="21" t="s">
        <v>764</v>
      </c>
      <c r="R1" s="21" t="s">
        <v>765</v>
      </c>
      <c r="S1" s="21" t="s">
        <v>766</v>
      </c>
      <c r="T1" s="21" t="s">
        <v>767</v>
      </c>
      <c r="U1" s="21" t="s">
        <v>768</v>
      </c>
      <c r="V1" s="21" t="s">
        <v>769</v>
      </c>
      <c r="W1" s="21" t="s">
        <v>770</v>
      </c>
      <c r="X1" s="22"/>
    </row>
    <row r="2" spans="1:24" ht="65.099999999999994" customHeight="1" thickBot="1" x14ac:dyDescent="0.3">
      <c r="A2" s="10" t="s">
        <v>11</v>
      </c>
      <c r="B2" s="10" t="s">
        <v>12</v>
      </c>
      <c r="C2" s="23" t="s">
        <v>13</v>
      </c>
      <c r="D2" s="10" t="s">
        <v>14</v>
      </c>
      <c r="E2" s="10" t="s">
        <v>15</v>
      </c>
      <c r="F2" s="10" t="s">
        <v>16</v>
      </c>
      <c r="G2" s="10" t="s">
        <v>771</v>
      </c>
      <c r="H2" s="10" t="s">
        <v>17</v>
      </c>
      <c r="I2" s="24" t="s">
        <v>18</v>
      </c>
      <c r="J2" s="25"/>
      <c r="K2" s="26" t="s">
        <v>772</v>
      </c>
      <c r="L2" s="26"/>
      <c r="M2" s="26"/>
      <c r="N2" s="26"/>
      <c r="O2" s="26"/>
      <c r="P2" s="26"/>
      <c r="Q2" s="26"/>
      <c r="R2" s="26"/>
      <c r="S2" s="26" t="s">
        <v>772</v>
      </c>
      <c r="T2" s="26"/>
      <c r="U2" s="26" t="s">
        <v>772</v>
      </c>
      <c r="V2" s="26"/>
      <c r="W2" s="26"/>
    </row>
    <row r="3" spans="1:24" ht="82.5" customHeight="1" thickBot="1" x14ac:dyDescent="0.3">
      <c r="A3" s="10" t="s">
        <v>11</v>
      </c>
      <c r="B3" s="10" t="s">
        <v>12</v>
      </c>
      <c r="C3" s="23" t="s">
        <v>19</v>
      </c>
      <c r="D3" s="10" t="s">
        <v>20</v>
      </c>
      <c r="E3" s="10" t="s">
        <v>15</v>
      </c>
      <c r="F3" s="10" t="s">
        <v>16</v>
      </c>
      <c r="G3" s="10" t="s">
        <v>771</v>
      </c>
      <c r="H3" s="10" t="s">
        <v>17</v>
      </c>
      <c r="I3" s="24" t="s">
        <v>21</v>
      </c>
      <c r="J3" s="24"/>
      <c r="K3" s="26"/>
      <c r="L3" s="26"/>
      <c r="M3" s="26"/>
      <c r="N3" s="26"/>
      <c r="O3" s="26"/>
      <c r="P3" s="26"/>
      <c r="Q3" s="26"/>
      <c r="R3" s="26"/>
      <c r="S3" s="26" t="s">
        <v>772</v>
      </c>
      <c r="T3" s="26"/>
      <c r="U3" s="26" t="s">
        <v>772</v>
      </c>
      <c r="V3" s="26"/>
      <c r="W3" s="26"/>
    </row>
    <row r="4" spans="1:24" ht="86.25" thickBot="1" x14ac:dyDescent="0.3">
      <c r="A4" s="10" t="s">
        <v>11</v>
      </c>
      <c r="B4" s="10" t="s">
        <v>12</v>
      </c>
      <c r="C4" s="23" t="s">
        <v>22</v>
      </c>
      <c r="D4" s="10" t="s">
        <v>23</v>
      </c>
      <c r="E4" s="10" t="s">
        <v>24</v>
      </c>
      <c r="F4" s="10" t="s">
        <v>16</v>
      </c>
      <c r="G4" s="10" t="s">
        <v>771</v>
      </c>
      <c r="H4" s="10" t="s">
        <v>17</v>
      </c>
      <c r="I4" s="24" t="s">
        <v>18</v>
      </c>
      <c r="J4" s="24"/>
      <c r="K4" s="26"/>
      <c r="L4" s="26"/>
      <c r="M4" s="26"/>
      <c r="N4" s="26"/>
      <c r="O4" s="26"/>
      <c r="P4" s="26"/>
      <c r="Q4" s="26"/>
      <c r="R4" s="26"/>
      <c r="S4" s="26" t="s">
        <v>772</v>
      </c>
      <c r="T4" s="26"/>
      <c r="U4" s="26" t="s">
        <v>772</v>
      </c>
      <c r="V4" s="26"/>
      <c r="W4" s="26"/>
    </row>
    <row r="5" spans="1:24" ht="78" customHeight="1" thickBot="1" x14ac:dyDescent="0.3">
      <c r="A5" s="10" t="s">
        <v>11</v>
      </c>
      <c r="B5" s="10" t="s">
        <v>25</v>
      </c>
      <c r="C5" s="23" t="s">
        <v>26</v>
      </c>
      <c r="D5" s="10" t="s">
        <v>27</v>
      </c>
      <c r="E5" s="10" t="s">
        <v>15</v>
      </c>
      <c r="F5" s="10" t="s">
        <v>16</v>
      </c>
      <c r="G5" s="10" t="s">
        <v>771</v>
      </c>
      <c r="H5" s="10" t="s">
        <v>17</v>
      </c>
      <c r="I5" s="24" t="s">
        <v>21</v>
      </c>
      <c r="J5" s="24"/>
      <c r="K5" s="26"/>
      <c r="L5" s="26"/>
      <c r="M5" s="26"/>
      <c r="N5" s="26"/>
      <c r="O5" s="26"/>
      <c r="P5" s="26"/>
      <c r="Q5" s="26"/>
      <c r="R5" s="26"/>
      <c r="S5" s="26"/>
      <c r="T5" s="26" t="s">
        <v>772</v>
      </c>
      <c r="U5" s="26" t="s">
        <v>772</v>
      </c>
      <c r="V5" s="26"/>
      <c r="W5" s="26"/>
    </row>
    <row r="6" spans="1:24" ht="77.45" customHeight="1" thickBot="1" x14ac:dyDescent="0.3">
      <c r="A6" s="10" t="s">
        <v>11</v>
      </c>
      <c r="B6" s="10" t="s">
        <v>25</v>
      </c>
      <c r="C6" s="27" t="s">
        <v>28</v>
      </c>
      <c r="D6" s="10" t="s">
        <v>29</v>
      </c>
      <c r="E6" s="10" t="s">
        <v>15</v>
      </c>
      <c r="F6" s="10" t="s">
        <v>16</v>
      </c>
      <c r="G6" s="10" t="s">
        <v>773</v>
      </c>
      <c r="H6" s="10" t="s">
        <v>17</v>
      </c>
      <c r="I6" s="24" t="s">
        <v>18</v>
      </c>
      <c r="J6" s="24"/>
      <c r="K6" s="26" t="s">
        <v>772</v>
      </c>
      <c r="L6" s="26"/>
      <c r="M6" s="26"/>
      <c r="N6" s="26"/>
      <c r="O6" s="26"/>
      <c r="P6" s="26"/>
      <c r="Q6" s="26"/>
      <c r="R6" s="26"/>
      <c r="S6" s="26"/>
      <c r="T6" s="26"/>
      <c r="U6" s="26" t="s">
        <v>772</v>
      </c>
      <c r="V6" s="26"/>
      <c r="W6" s="26"/>
    </row>
    <row r="7" spans="1:24" ht="57.75" thickBot="1" x14ac:dyDescent="0.3">
      <c r="A7" s="10" t="s">
        <v>11</v>
      </c>
      <c r="B7" s="10" t="s">
        <v>30</v>
      </c>
      <c r="C7" s="23" t="s">
        <v>31</v>
      </c>
      <c r="D7" s="10" t="s">
        <v>32</v>
      </c>
      <c r="E7" s="10" t="s">
        <v>15</v>
      </c>
      <c r="F7" s="10" t="s">
        <v>16</v>
      </c>
      <c r="G7" s="10" t="s">
        <v>771</v>
      </c>
      <c r="H7" s="10" t="s">
        <v>17</v>
      </c>
      <c r="I7" s="24" t="s">
        <v>18</v>
      </c>
      <c r="J7" s="24"/>
      <c r="K7" s="26" t="s">
        <v>772</v>
      </c>
      <c r="L7" s="26"/>
      <c r="M7" s="26"/>
      <c r="N7" s="26"/>
      <c r="O7" s="26"/>
      <c r="P7" s="26"/>
      <c r="Q7" s="26"/>
      <c r="R7" s="26" t="s">
        <v>772</v>
      </c>
      <c r="S7" s="26"/>
      <c r="T7" s="26"/>
      <c r="U7" s="26"/>
      <c r="V7" s="26"/>
      <c r="W7" s="26"/>
    </row>
    <row r="8" spans="1:24" ht="43.5" thickBot="1" x14ac:dyDescent="0.3">
      <c r="A8" s="10" t="s">
        <v>11</v>
      </c>
      <c r="B8" s="10" t="s">
        <v>30</v>
      </c>
      <c r="C8" s="27" t="s">
        <v>33</v>
      </c>
      <c r="D8" s="10" t="s">
        <v>34</v>
      </c>
      <c r="E8" s="10" t="s">
        <v>15</v>
      </c>
      <c r="F8" s="10" t="s">
        <v>16</v>
      </c>
      <c r="G8" s="10" t="s">
        <v>773</v>
      </c>
      <c r="H8" s="10" t="s">
        <v>17</v>
      </c>
      <c r="I8" s="24" t="s">
        <v>18</v>
      </c>
      <c r="J8" s="24"/>
      <c r="K8" s="26"/>
      <c r="L8" s="26"/>
      <c r="M8" s="26"/>
      <c r="N8" s="26"/>
      <c r="O8" s="26"/>
      <c r="P8" s="26"/>
      <c r="Q8" s="26"/>
      <c r="R8" s="26"/>
      <c r="S8" s="26"/>
      <c r="T8" s="26"/>
      <c r="U8" s="26" t="s">
        <v>772</v>
      </c>
      <c r="V8" s="26"/>
      <c r="W8" s="26"/>
    </row>
    <row r="9" spans="1:24" ht="57.75" thickBot="1" x14ac:dyDescent="0.3">
      <c r="A9" s="10" t="s">
        <v>11</v>
      </c>
      <c r="B9" s="10" t="s">
        <v>38</v>
      </c>
      <c r="C9" s="23" t="s">
        <v>39</v>
      </c>
      <c r="D9" s="10" t="s">
        <v>40</v>
      </c>
      <c r="E9" s="10" t="s">
        <v>15</v>
      </c>
      <c r="F9" s="10" t="s">
        <v>16</v>
      </c>
      <c r="G9" s="10" t="s">
        <v>771</v>
      </c>
      <c r="H9" s="10" t="s">
        <v>17</v>
      </c>
      <c r="I9" s="24" t="s">
        <v>18</v>
      </c>
      <c r="J9" s="24"/>
      <c r="K9" s="26" t="s">
        <v>772</v>
      </c>
      <c r="L9" s="26"/>
      <c r="M9" s="26"/>
      <c r="N9" s="26"/>
      <c r="O9" s="26"/>
      <c r="P9" s="26"/>
      <c r="Q9" s="26"/>
      <c r="R9" s="26"/>
      <c r="S9" s="26" t="s">
        <v>772</v>
      </c>
      <c r="T9" s="26" t="s">
        <v>772</v>
      </c>
      <c r="U9" s="26"/>
      <c r="V9" s="26"/>
      <c r="W9" s="26"/>
    </row>
    <row r="10" spans="1:24" ht="57.75" thickBot="1" x14ac:dyDescent="0.3">
      <c r="A10" s="10" t="s">
        <v>41</v>
      </c>
      <c r="B10" s="10" t="s">
        <v>42</v>
      </c>
      <c r="C10" s="28" t="s">
        <v>43</v>
      </c>
      <c r="D10" s="10" t="s">
        <v>44</v>
      </c>
      <c r="E10" s="10" t="s">
        <v>15</v>
      </c>
      <c r="F10" s="10" t="s">
        <v>16</v>
      </c>
      <c r="G10" s="10" t="s">
        <v>774</v>
      </c>
      <c r="H10" s="10" t="s">
        <v>17</v>
      </c>
      <c r="I10" s="24" t="s">
        <v>45</v>
      </c>
      <c r="J10" s="24"/>
      <c r="K10" s="26" t="s">
        <v>772</v>
      </c>
      <c r="L10" s="26"/>
      <c r="M10" s="26"/>
      <c r="N10" s="26"/>
      <c r="O10" s="26"/>
      <c r="P10" s="26"/>
      <c r="Q10" s="26"/>
      <c r="R10" s="26" t="s">
        <v>772</v>
      </c>
      <c r="S10" s="26"/>
      <c r="T10" s="26" t="s">
        <v>772</v>
      </c>
      <c r="U10" s="26"/>
      <c r="V10" s="26" t="s">
        <v>772</v>
      </c>
      <c r="W10" s="26"/>
    </row>
    <row r="11" spans="1:24" ht="72" thickBot="1" x14ac:dyDescent="0.3">
      <c r="A11" s="10" t="s">
        <v>41</v>
      </c>
      <c r="B11" s="10" t="s">
        <v>42</v>
      </c>
      <c r="C11" s="28" t="s">
        <v>46</v>
      </c>
      <c r="D11" s="10" t="s">
        <v>47</v>
      </c>
      <c r="E11" s="10" t="s">
        <v>15</v>
      </c>
      <c r="F11" s="10" t="s">
        <v>16</v>
      </c>
      <c r="G11" s="10" t="s">
        <v>774</v>
      </c>
      <c r="H11" s="10" t="s">
        <v>17</v>
      </c>
      <c r="I11" s="24" t="s">
        <v>18</v>
      </c>
      <c r="J11" s="24"/>
      <c r="K11" s="26" t="s">
        <v>772</v>
      </c>
      <c r="L11" s="26"/>
      <c r="M11" s="26"/>
      <c r="N11" s="26"/>
      <c r="O11" s="26"/>
      <c r="P11" s="26"/>
      <c r="Q11" s="26"/>
      <c r="R11" s="26" t="s">
        <v>772</v>
      </c>
      <c r="S11" s="26"/>
      <c r="T11" s="26" t="s">
        <v>772</v>
      </c>
      <c r="U11" s="26"/>
      <c r="V11" s="26"/>
      <c r="W11" s="26"/>
    </row>
    <row r="12" spans="1:24" ht="72" thickBot="1" x14ac:dyDescent="0.3">
      <c r="A12" s="10" t="s">
        <v>41</v>
      </c>
      <c r="B12" s="10" t="s">
        <v>48</v>
      </c>
      <c r="C12" s="28" t="s">
        <v>49</v>
      </c>
      <c r="D12" s="10" t="s">
        <v>50</v>
      </c>
      <c r="E12" s="10" t="s">
        <v>51</v>
      </c>
      <c r="F12" s="10" t="s">
        <v>16</v>
      </c>
      <c r="G12" s="10" t="s">
        <v>771</v>
      </c>
      <c r="H12" s="10" t="s">
        <v>17</v>
      </c>
      <c r="I12" s="24" t="s">
        <v>21</v>
      </c>
      <c r="J12" s="24"/>
      <c r="K12" s="26" t="s">
        <v>772</v>
      </c>
      <c r="L12" s="26"/>
      <c r="M12" s="26" t="s">
        <v>772</v>
      </c>
      <c r="N12" s="26"/>
      <c r="O12" s="26"/>
      <c r="P12" s="26"/>
      <c r="Q12" s="26"/>
      <c r="R12" s="26" t="s">
        <v>772</v>
      </c>
      <c r="S12" s="26"/>
      <c r="T12" s="26"/>
      <c r="U12" s="26"/>
      <c r="V12" s="26"/>
      <c r="W12" s="26"/>
    </row>
    <row r="13" spans="1:24" ht="72" thickBot="1" x14ac:dyDescent="0.3">
      <c r="A13" s="10" t="s">
        <v>41</v>
      </c>
      <c r="B13" s="10" t="s">
        <v>52</v>
      </c>
      <c r="C13" s="28" t="s">
        <v>53</v>
      </c>
      <c r="D13" s="10" t="s">
        <v>775</v>
      </c>
      <c r="E13" s="10" t="s">
        <v>15</v>
      </c>
      <c r="F13" s="10" t="s">
        <v>16</v>
      </c>
      <c r="G13" s="10" t="s">
        <v>774</v>
      </c>
      <c r="H13" s="10" t="s">
        <v>17</v>
      </c>
      <c r="I13" s="24" t="s">
        <v>18</v>
      </c>
      <c r="J13" s="24"/>
      <c r="K13" s="26" t="s">
        <v>772</v>
      </c>
      <c r="L13" s="26"/>
      <c r="M13" s="26"/>
      <c r="N13" s="26"/>
      <c r="O13" s="26"/>
      <c r="P13" s="26"/>
      <c r="Q13" s="26"/>
      <c r="R13" s="26" t="s">
        <v>772</v>
      </c>
      <c r="S13" s="26"/>
      <c r="T13" s="26" t="s">
        <v>772</v>
      </c>
      <c r="U13" s="26"/>
      <c r="V13" s="26"/>
      <c r="W13" s="26"/>
    </row>
    <row r="14" spans="1:24" ht="72" thickBot="1" x14ac:dyDescent="0.3">
      <c r="A14" s="10" t="s">
        <v>41</v>
      </c>
      <c r="B14" s="10" t="s">
        <v>52</v>
      </c>
      <c r="C14" s="28" t="s">
        <v>55</v>
      </c>
      <c r="D14" s="10" t="s">
        <v>56</v>
      </c>
      <c r="E14" s="10" t="s">
        <v>15</v>
      </c>
      <c r="F14" s="10" t="s">
        <v>16</v>
      </c>
      <c r="G14" s="10" t="s">
        <v>771</v>
      </c>
      <c r="H14" s="10" t="s">
        <v>17</v>
      </c>
      <c r="I14" s="24" t="s">
        <v>18</v>
      </c>
      <c r="J14" s="24"/>
      <c r="K14" s="26" t="s">
        <v>772</v>
      </c>
      <c r="L14" s="26"/>
      <c r="M14" s="26"/>
      <c r="N14" s="26"/>
      <c r="O14" s="26"/>
      <c r="P14" s="26"/>
      <c r="Q14" s="26"/>
      <c r="R14" s="26" t="s">
        <v>772</v>
      </c>
      <c r="S14" s="26"/>
      <c r="T14" s="26" t="s">
        <v>772</v>
      </c>
      <c r="U14" s="26"/>
      <c r="V14" s="26"/>
      <c r="W14" s="26"/>
    </row>
    <row r="15" spans="1:24" ht="57.75" thickBot="1" x14ac:dyDescent="0.3">
      <c r="A15" s="10" t="s">
        <v>41</v>
      </c>
      <c r="B15" s="10" t="s">
        <v>52</v>
      </c>
      <c r="C15" s="28" t="s">
        <v>57</v>
      </c>
      <c r="D15" s="10" t="s">
        <v>58</v>
      </c>
      <c r="E15" s="10" t="s">
        <v>15</v>
      </c>
      <c r="F15" s="10" t="s">
        <v>16</v>
      </c>
      <c r="G15" s="10" t="s">
        <v>774</v>
      </c>
      <c r="H15" s="10" t="s">
        <v>17</v>
      </c>
      <c r="I15" s="24" t="s">
        <v>21</v>
      </c>
      <c r="J15" s="24"/>
      <c r="K15" s="26" t="s">
        <v>772</v>
      </c>
      <c r="L15" s="26"/>
      <c r="M15" s="26"/>
      <c r="N15" s="26"/>
      <c r="O15" s="26"/>
      <c r="P15" s="26"/>
      <c r="Q15" s="26"/>
      <c r="R15" s="26" t="s">
        <v>772</v>
      </c>
      <c r="S15" s="26"/>
      <c r="T15" s="26" t="s">
        <v>772</v>
      </c>
      <c r="U15" s="26"/>
      <c r="V15" s="26"/>
      <c r="W15" s="26"/>
    </row>
    <row r="16" spans="1:24" ht="72" thickBot="1" x14ac:dyDescent="0.3">
      <c r="A16" s="10" t="s">
        <v>41</v>
      </c>
      <c r="B16" s="10" t="s">
        <v>48</v>
      </c>
      <c r="C16" s="28" t="s">
        <v>59</v>
      </c>
      <c r="D16" s="10" t="s">
        <v>60</v>
      </c>
      <c r="E16" s="10" t="s">
        <v>51</v>
      </c>
      <c r="F16" s="10" t="s">
        <v>16</v>
      </c>
      <c r="G16" s="10" t="s">
        <v>774</v>
      </c>
      <c r="H16" s="10" t="s">
        <v>17</v>
      </c>
      <c r="I16" s="24" t="s">
        <v>21</v>
      </c>
      <c r="J16" s="24"/>
      <c r="K16" s="26" t="s">
        <v>772</v>
      </c>
      <c r="L16" s="26"/>
      <c r="M16" s="26" t="s">
        <v>772</v>
      </c>
      <c r="N16" s="26"/>
      <c r="O16" s="26"/>
      <c r="P16" s="26"/>
      <c r="Q16" s="26"/>
      <c r="R16" s="26" t="s">
        <v>772</v>
      </c>
      <c r="S16" s="26"/>
      <c r="T16" s="26"/>
      <c r="U16" s="26"/>
      <c r="V16" s="26"/>
      <c r="W16" s="26"/>
    </row>
    <row r="17" spans="1:23" ht="43.5" thickBot="1" x14ac:dyDescent="0.3">
      <c r="A17" s="10" t="s">
        <v>41</v>
      </c>
      <c r="B17" s="10" t="s">
        <v>61</v>
      </c>
      <c r="C17" s="28" t="s">
        <v>62</v>
      </c>
      <c r="D17" s="10" t="s">
        <v>63</v>
      </c>
      <c r="E17" s="10" t="s">
        <v>15</v>
      </c>
      <c r="F17" s="10" t="s">
        <v>16</v>
      </c>
      <c r="G17" s="10" t="s">
        <v>774</v>
      </c>
      <c r="H17" s="10" t="s">
        <v>17</v>
      </c>
      <c r="I17" s="24" t="s">
        <v>18</v>
      </c>
      <c r="J17" s="24"/>
      <c r="K17" s="26" t="s">
        <v>772</v>
      </c>
      <c r="L17" s="26"/>
      <c r="M17" s="26"/>
      <c r="N17" s="26"/>
      <c r="O17" s="26"/>
      <c r="P17" s="26"/>
      <c r="Q17" s="26"/>
      <c r="R17" s="26" t="s">
        <v>772</v>
      </c>
      <c r="S17" s="26"/>
      <c r="T17" s="26" t="s">
        <v>772</v>
      </c>
      <c r="U17" s="26"/>
      <c r="V17" s="26"/>
      <c r="W17" s="26"/>
    </row>
    <row r="18" spans="1:23" ht="57.75" thickBot="1" x14ac:dyDescent="0.3">
      <c r="A18" s="10" t="s">
        <v>41</v>
      </c>
      <c r="B18" s="10" t="s">
        <v>61</v>
      </c>
      <c r="C18" s="28" t="s">
        <v>64</v>
      </c>
      <c r="D18" s="10" t="s">
        <v>65</v>
      </c>
      <c r="E18" s="10" t="s">
        <v>15</v>
      </c>
      <c r="F18" s="10" t="s">
        <v>16</v>
      </c>
      <c r="G18" s="10" t="s">
        <v>774</v>
      </c>
      <c r="H18" s="10" t="s">
        <v>17</v>
      </c>
      <c r="I18" s="24" t="s">
        <v>18</v>
      </c>
      <c r="J18" s="24"/>
      <c r="K18" s="26" t="s">
        <v>772</v>
      </c>
      <c r="L18" s="26"/>
      <c r="M18" s="26"/>
      <c r="N18" s="26"/>
      <c r="O18" s="26"/>
      <c r="P18" s="26"/>
      <c r="Q18" s="26"/>
      <c r="R18" s="26" t="s">
        <v>772</v>
      </c>
      <c r="S18" s="26"/>
      <c r="T18" s="26"/>
      <c r="U18" s="26"/>
      <c r="V18" s="26" t="s">
        <v>772</v>
      </c>
      <c r="W18" s="26"/>
    </row>
    <row r="19" spans="1:23" ht="72" thickBot="1" x14ac:dyDescent="0.3">
      <c r="A19" s="10" t="s">
        <v>41</v>
      </c>
      <c r="B19" s="10" t="s">
        <v>30</v>
      </c>
      <c r="C19" s="27" t="s">
        <v>66</v>
      </c>
      <c r="D19" s="10" t="s">
        <v>67</v>
      </c>
      <c r="E19" s="10" t="s">
        <v>15</v>
      </c>
      <c r="F19" s="10" t="s">
        <v>16</v>
      </c>
      <c r="G19" s="10" t="s">
        <v>773</v>
      </c>
      <c r="H19" s="10" t="s">
        <v>17</v>
      </c>
      <c r="I19" s="24" t="s">
        <v>21</v>
      </c>
      <c r="J19" s="24"/>
      <c r="K19" s="26" t="s">
        <v>772</v>
      </c>
      <c r="L19" s="26"/>
      <c r="M19" s="26"/>
      <c r="N19" s="26"/>
      <c r="O19" s="26"/>
      <c r="P19" s="26"/>
      <c r="Q19" s="26"/>
      <c r="R19" s="26" t="s">
        <v>772</v>
      </c>
      <c r="S19" s="26"/>
      <c r="T19" s="26" t="s">
        <v>772</v>
      </c>
      <c r="U19" s="26" t="s">
        <v>772</v>
      </c>
      <c r="V19" s="26"/>
      <c r="W19" s="26"/>
    </row>
    <row r="20" spans="1:23" ht="114.75" thickBot="1" x14ac:dyDescent="0.3">
      <c r="A20" s="10" t="s">
        <v>68</v>
      </c>
      <c r="B20" s="10" t="s">
        <v>52</v>
      </c>
      <c r="C20" s="29" t="s">
        <v>69</v>
      </c>
      <c r="D20" s="10" t="s">
        <v>70</v>
      </c>
      <c r="E20" s="10" t="s">
        <v>24</v>
      </c>
      <c r="F20" s="10" t="s">
        <v>71</v>
      </c>
      <c r="G20" s="10" t="s">
        <v>771</v>
      </c>
      <c r="H20" s="10" t="s">
        <v>72</v>
      </c>
      <c r="I20" s="24" t="s">
        <v>18</v>
      </c>
      <c r="J20" s="24"/>
      <c r="K20" s="26" t="s">
        <v>772</v>
      </c>
      <c r="L20" s="26"/>
      <c r="M20" s="26"/>
      <c r="N20" s="26"/>
      <c r="O20" s="26"/>
      <c r="P20" s="26"/>
      <c r="Q20" s="26"/>
      <c r="R20" s="26" t="s">
        <v>772</v>
      </c>
      <c r="S20" s="26"/>
      <c r="T20" s="26" t="s">
        <v>772</v>
      </c>
      <c r="U20" s="26"/>
      <c r="V20" s="26" t="s">
        <v>772</v>
      </c>
      <c r="W20" s="26"/>
    </row>
    <row r="21" spans="1:23" ht="114.75" thickBot="1" x14ac:dyDescent="0.3">
      <c r="A21" s="10" t="s">
        <v>68</v>
      </c>
      <c r="B21" s="10" t="s">
        <v>52</v>
      </c>
      <c r="C21" s="29" t="s">
        <v>73</v>
      </c>
      <c r="D21" s="10" t="s">
        <v>74</v>
      </c>
      <c r="E21" s="10" t="s">
        <v>24</v>
      </c>
      <c r="F21" s="10" t="s">
        <v>71</v>
      </c>
      <c r="G21" s="10" t="s">
        <v>771</v>
      </c>
      <c r="H21" s="10" t="s">
        <v>72</v>
      </c>
      <c r="I21" s="24" t="s">
        <v>18</v>
      </c>
      <c r="J21" s="24"/>
      <c r="K21" s="26" t="s">
        <v>772</v>
      </c>
      <c r="L21" s="26" t="s">
        <v>772</v>
      </c>
      <c r="M21" s="26"/>
      <c r="N21" s="26"/>
      <c r="O21" s="26"/>
      <c r="P21" s="26"/>
      <c r="Q21" s="26"/>
      <c r="R21" s="26" t="s">
        <v>772</v>
      </c>
      <c r="S21" s="26"/>
      <c r="T21" s="26"/>
      <c r="U21" s="26"/>
      <c r="V21" s="26"/>
      <c r="W21" s="26"/>
    </row>
    <row r="22" spans="1:23" ht="57.75" thickBot="1" x14ac:dyDescent="0.3">
      <c r="A22" s="10" t="s">
        <v>68</v>
      </c>
      <c r="B22" s="10" t="s">
        <v>75</v>
      </c>
      <c r="C22" s="28" t="s">
        <v>76</v>
      </c>
      <c r="D22" s="10" t="s">
        <v>77</v>
      </c>
      <c r="E22" s="10" t="s">
        <v>15</v>
      </c>
      <c r="F22" s="10" t="s">
        <v>16</v>
      </c>
      <c r="G22" s="10" t="s">
        <v>771</v>
      </c>
      <c r="H22" s="10" t="s">
        <v>17</v>
      </c>
      <c r="I22" s="24" t="s">
        <v>18</v>
      </c>
      <c r="J22" s="24"/>
      <c r="K22" s="26" t="s">
        <v>772</v>
      </c>
      <c r="L22" s="26"/>
      <c r="M22" s="26"/>
      <c r="N22" s="26"/>
      <c r="O22" s="26"/>
      <c r="P22" s="26"/>
      <c r="Q22" s="26"/>
      <c r="R22" s="26" t="s">
        <v>772</v>
      </c>
      <c r="S22" s="26"/>
      <c r="T22" s="26" t="s">
        <v>772</v>
      </c>
      <c r="U22" s="26"/>
      <c r="V22" s="26" t="s">
        <v>772</v>
      </c>
      <c r="W22" s="26"/>
    </row>
    <row r="23" spans="1:23" ht="29.25" thickBot="1" x14ac:dyDescent="0.3">
      <c r="A23" s="10" t="s">
        <v>68</v>
      </c>
      <c r="B23" s="10" t="s">
        <v>75</v>
      </c>
      <c r="C23" s="28" t="s">
        <v>78</v>
      </c>
      <c r="D23" s="10" t="s">
        <v>79</v>
      </c>
      <c r="E23" s="10" t="s">
        <v>15</v>
      </c>
      <c r="F23" s="10" t="s">
        <v>16</v>
      </c>
      <c r="G23" s="10" t="s">
        <v>771</v>
      </c>
      <c r="H23" s="10" t="s">
        <v>17</v>
      </c>
      <c r="I23" s="24" t="s">
        <v>18</v>
      </c>
      <c r="J23" s="24"/>
      <c r="K23" s="26" t="s">
        <v>772</v>
      </c>
      <c r="L23" s="26"/>
      <c r="M23" s="26"/>
      <c r="N23" s="26"/>
      <c r="O23" s="26"/>
      <c r="P23" s="26"/>
      <c r="Q23" s="26"/>
      <c r="R23" s="26"/>
      <c r="S23" s="26"/>
      <c r="T23" s="26" t="s">
        <v>772</v>
      </c>
      <c r="U23" s="26"/>
      <c r="V23" s="26"/>
      <c r="W23" s="26"/>
    </row>
    <row r="24" spans="1:23" ht="57.75" thickBot="1" x14ac:dyDescent="0.3">
      <c r="A24" s="10" t="s">
        <v>68</v>
      </c>
      <c r="B24" s="10" t="s">
        <v>75</v>
      </c>
      <c r="C24" s="28" t="s">
        <v>86</v>
      </c>
      <c r="D24" s="10" t="s">
        <v>87</v>
      </c>
      <c r="E24" s="10" t="s">
        <v>15</v>
      </c>
      <c r="F24" s="10" t="s">
        <v>16</v>
      </c>
      <c r="G24" s="10" t="s">
        <v>771</v>
      </c>
      <c r="H24" s="10" t="s">
        <v>17</v>
      </c>
      <c r="I24" s="24" t="s">
        <v>18</v>
      </c>
      <c r="J24" s="24"/>
      <c r="K24" s="26" t="s">
        <v>772</v>
      </c>
      <c r="L24" s="26"/>
      <c r="M24" s="26"/>
      <c r="N24" s="26"/>
      <c r="O24" s="26"/>
      <c r="P24" s="26"/>
      <c r="Q24" s="26"/>
      <c r="R24" s="26" t="s">
        <v>772</v>
      </c>
      <c r="S24" s="26"/>
      <c r="T24" s="26" t="s">
        <v>772</v>
      </c>
      <c r="U24" s="26"/>
      <c r="V24" s="26"/>
      <c r="W24" s="26"/>
    </row>
    <row r="25" spans="1:23" ht="43.5" thickBot="1" x14ac:dyDescent="0.3">
      <c r="A25" s="10" t="s">
        <v>68</v>
      </c>
      <c r="B25" s="10" t="s">
        <v>75</v>
      </c>
      <c r="C25" s="30" t="s">
        <v>83</v>
      </c>
      <c r="D25" s="10" t="s">
        <v>84</v>
      </c>
      <c r="E25" s="10" t="s">
        <v>85</v>
      </c>
      <c r="F25" s="10" t="s">
        <v>71</v>
      </c>
      <c r="G25" s="10" t="s">
        <v>776</v>
      </c>
      <c r="H25" s="10" t="s">
        <v>17</v>
      </c>
      <c r="I25" s="24" t="s">
        <v>18</v>
      </c>
      <c r="J25" s="24"/>
      <c r="K25" s="26"/>
      <c r="L25" s="26"/>
      <c r="M25" s="26"/>
      <c r="N25" s="26"/>
      <c r="O25" s="26"/>
      <c r="P25" s="26"/>
      <c r="Q25" s="26"/>
      <c r="R25" s="26"/>
      <c r="S25" s="26"/>
      <c r="T25" s="26" t="s">
        <v>772</v>
      </c>
      <c r="U25" s="26"/>
      <c r="V25" s="26" t="s">
        <v>772</v>
      </c>
      <c r="W25" s="26" t="s">
        <v>772</v>
      </c>
    </row>
    <row r="26" spans="1:23" ht="72" thickBot="1" x14ac:dyDescent="0.3">
      <c r="A26" s="10" t="s">
        <v>68</v>
      </c>
      <c r="B26" s="10" t="s">
        <v>88</v>
      </c>
      <c r="C26" s="31" t="s">
        <v>89</v>
      </c>
      <c r="D26" s="10" t="s">
        <v>719</v>
      </c>
      <c r="E26" s="10" t="s">
        <v>15</v>
      </c>
      <c r="F26" s="10" t="s">
        <v>16</v>
      </c>
      <c r="G26" s="10" t="s">
        <v>776</v>
      </c>
      <c r="H26" s="10" t="s">
        <v>17</v>
      </c>
      <c r="I26" s="24" t="s">
        <v>18</v>
      </c>
      <c r="J26" s="24"/>
      <c r="K26" s="26"/>
      <c r="L26" s="26"/>
      <c r="M26" s="26"/>
      <c r="N26" s="26"/>
      <c r="O26" s="26"/>
      <c r="P26" s="26"/>
      <c r="Q26" s="26"/>
      <c r="R26" s="26"/>
      <c r="S26" s="26"/>
      <c r="T26" s="26" t="s">
        <v>772</v>
      </c>
      <c r="U26" s="26"/>
      <c r="V26" s="26"/>
      <c r="W26" s="26" t="s">
        <v>772</v>
      </c>
    </row>
    <row r="27" spans="1:23" ht="72" thickBot="1" x14ac:dyDescent="0.3">
      <c r="A27" s="10" t="s">
        <v>68</v>
      </c>
      <c r="B27" s="10" t="s">
        <v>88</v>
      </c>
      <c r="C27" s="31" t="s">
        <v>90</v>
      </c>
      <c r="D27" s="10" t="s">
        <v>777</v>
      </c>
      <c r="E27" s="10" t="s">
        <v>15</v>
      </c>
      <c r="F27" s="10" t="s">
        <v>16</v>
      </c>
      <c r="G27" s="10" t="s">
        <v>776</v>
      </c>
      <c r="H27" s="10" t="s">
        <v>17</v>
      </c>
      <c r="I27" s="24" t="s">
        <v>18</v>
      </c>
      <c r="J27" s="24"/>
      <c r="K27" s="26"/>
      <c r="L27" s="26"/>
      <c r="M27" s="26"/>
      <c r="N27" s="26"/>
      <c r="O27" s="26"/>
      <c r="P27" s="26"/>
      <c r="Q27" s="26"/>
      <c r="R27" s="26"/>
      <c r="S27" s="26"/>
      <c r="T27" s="26" t="s">
        <v>772</v>
      </c>
      <c r="U27" s="26"/>
      <c r="V27" s="26"/>
      <c r="W27" s="26" t="s">
        <v>772</v>
      </c>
    </row>
    <row r="28" spans="1:23" ht="72" thickBot="1" x14ac:dyDescent="0.3">
      <c r="A28" s="10" t="s">
        <v>68</v>
      </c>
      <c r="B28" s="10" t="s">
        <v>88</v>
      </c>
      <c r="C28" s="31" t="s">
        <v>91</v>
      </c>
      <c r="D28" s="10" t="s">
        <v>721</v>
      </c>
      <c r="E28" s="10" t="s">
        <v>15</v>
      </c>
      <c r="F28" s="10" t="s">
        <v>16</v>
      </c>
      <c r="G28" s="10" t="s">
        <v>776</v>
      </c>
      <c r="H28" s="10" t="s">
        <v>17</v>
      </c>
      <c r="I28" s="24" t="s">
        <v>18</v>
      </c>
      <c r="J28" s="24"/>
      <c r="K28" s="26"/>
      <c r="L28" s="26"/>
      <c r="M28" s="26"/>
      <c r="N28" s="26"/>
      <c r="O28" s="26"/>
      <c r="P28" s="26"/>
      <c r="Q28" s="26"/>
      <c r="R28" s="26"/>
      <c r="S28" s="26"/>
      <c r="T28" s="26" t="s">
        <v>772</v>
      </c>
      <c r="U28" s="26"/>
      <c r="V28" s="26"/>
      <c r="W28" s="26" t="s">
        <v>772</v>
      </c>
    </row>
    <row r="29" spans="1:23" ht="57.75" thickBot="1" x14ac:dyDescent="0.3">
      <c r="A29" s="10" t="s">
        <v>68</v>
      </c>
      <c r="B29" s="10" t="s">
        <v>88</v>
      </c>
      <c r="C29" s="31" t="s">
        <v>92</v>
      </c>
      <c r="D29" s="10" t="s">
        <v>722</v>
      </c>
      <c r="E29" s="10" t="s">
        <v>15</v>
      </c>
      <c r="F29" s="10" t="s">
        <v>16</v>
      </c>
      <c r="G29" s="10" t="s">
        <v>776</v>
      </c>
      <c r="H29" s="10" t="s">
        <v>17</v>
      </c>
      <c r="I29" s="24" t="s">
        <v>18</v>
      </c>
      <c r="J29" s="24"/>
      <c r="K29" s="26"/>
      <c r="L29" s="26"/>
      <c r="M29" s="26"/>
      <c r="N29" s="26"/>
      <c r="O29" s="26"/>
      <c r="P29" s="26"/>
      <c r="Q29" s="26"/>
      <c r="R29" s="26"/>
      <c r="S29" s="26"/>
      <c r="T29" s="26" t="s">
        <v>772</v>
      </c>
      <c r="U29" s="26"/>
      <c r="V29" s="26"/>
      <c r="W29" s="26" t="s">
        <v>772</v>
      </c>
    </row>
    <row r="30" spans="1:23" ht="43.5" thickBot="1" x14ac:dyDescent="0.3">
      <c r="A30" s="10" t="s">
        <v>68</v>
      </c>
      <c r="B30" s="10" t="s">
        <v>93</v>
      </c>
      <c r="C30" s="32" t="s">
        <v>80</v>
      </c>
      <c r="D30" s="10" t="s">
        <v>81</v>
      </c>
      <c r="E30" s="10" t="s">
        <v>82</v>
      </c>
      <c r="F30" s="10" t="s">
        <v>16</v>
      </c>
      <c r="G30" s="10" t="s">
        <v>774</v>
      </c>
      <c r="H30" s="10" t="s">
        <v>17</v>
      </c>
      <c r="I30" s="24" t="s">
        <v>18</v>
      </c>
      <c r="J30" s="24"/>
      <c r="K30" s="26"/>
      <c r="L30" s="26"/>
      <c r="M30" s="26"/>
      <c r="N30" s="26"/>
      <c r="O30" s="26" t="s">
        <v>772</v>
      </c>
      <c r="P30" s="26" t="s">
        <v>772</v>
      </c>
      <c r="Q30" s="26"/>
      <c r="R30" s="26"/>
      <c r="S30" s="26"/>
      <c r="T30" s="26" t="s">
        <v>772</v>
      </c>
      <c r="U30" s="26"/>
      <c r="V30" s="26" t="s">
        <v>772</v>
      </c>
      <c r="W30" s="26"/>
    </row>
    <row r="31" spans="1:23" ht="43.5" thickBot="1" x14ac:dyDescent="0.3">
      <c r="A31" s="10" t="s">
        <v>68</v>
      </c>
      <c r="B31" s="10" t="s">
        <v>93</v>
      </c>
      <c r="C31" s="33" t="s">
        <v>715</v>
      </c>
      <c r="D31" s="10" t="s">
        <v>716</v>
      </c>
      <c r="E31" s="10" t="s">
        <v>24</v>
      </c>
      <c r="F31" s="10" t="s">
        <v>16</v>
      </c>
      <c r="G31" s="10" t="s">
        <v>771</v>
      </c>
      <c r="H31" s="10" t="s">
        <v>17</v>
      </c>
      <c r="I31" s="24" t="s">
        <v>18</v>
      </c>
      <c r="J31" s="24"/>
      <c r="K31" s="26" t="s">
        <v>772</v>
      </c>
      <c r="L31" s="26"/>
      <c r="M31" s="26"/>
      <c r="N31" s="26"/>
      <c r="O31" s="26" t="s">
        <v>772</v>
      </c>
      <c r="P31" s="26" t="s">
        <v>772</v>
      </c>
      <c r="Q31" s="26"/>
      <c r="R31" s="26" t="s">
        <v>772</v>
      </c>
      <c r="S31" s="26"/>
      <c r="T31" s="26" t="s">
        <v>772</v>
      </c>
      <c r="U31" s="26"/>
      <c r="V31" s="26"/>
      <c r="W31" s="26"/>
    </row>
    <row r="32" spans="1:23" ht="43.5" thickBot="1" x14ac:dyDescent="0.3">
      <c r="A32" s="10" t="s">
        <v>68</v>
      </c>
      <c r="B32" s="10" t="s">
        <v>93</v>
      </c>
      <c r="C32" s="32" t="s">
        <v>717</v>
      </c>
      <c r="D32" s="10" t="s">
        <v>718</v>
      </c>
      <c r="E32" s="10" t="s">
        <v>24</v>
      </c>
      <c r="F32" s="10" t="s">
        <v>16</v>
      </c>
      <c r="G32" s="10" t="s">
        <v>774</v>
      </c>
      <c r="H32" s="10" t="s">
        <v>17</v>
      </c>
      <c r="I32" s="24" t="s">
        <v>18</v>
      </c>
      <c r="J32" s="24"/>
      <c r="K32" s="26" t="s">
        <v>772</v>
      </c>
      <c r="L32" s="26"/>
      <c r="M32" s="26"/>
      <c r="N32" s="26"/>
      <c r="O32" s="26" t="s">
        <v>772</v>
      </c>
      <c r="P32" s="26" t="s">
        <v>772</v>
      </c>
      <c r="Q32" s="26"/>
      <c r="R32" s="26"/>
      <c r="S32" s="26"/>
      <c r="T32" s="26" t="s">
        <v>772</v>
      </c>
      <c r="U32" s="26"/>
      <c r="V32" s="26" t="s">
        <v>772</v>
      </c>
      <c r="W32" s="26"/>
    </row>
    <row r="33" spans="1:23" ht="200.25" thickBot="1" x14ac:dyDescent="0.3">
      <c r="A33" s="10" t="s">
        <v>97</v>
      </c>
      <c r="B33" s="10" t="s">
        <v>98</v>
      </c>
      <c r="C33" s="27" t="s">
        <v>99</v>
      </c>
      <c r="D33" s="10" t="s">
        <v>100</v>
      </c>
      <c r="E33" s="10" t="s">
        <v>101</v>
      </c>
      <c r="F33" s="10" t="s">
        <v>71</v>
      </c>
      <c r="G33" s="10" t="s">
        <v>774</v>
      </c>
      <c r="H33" s="10" t="s">
        <v>102</v>
      </c>
      <c r="I33" s="24" t="s">
        <v>18</v>
      </c>
      <c r="J33" s="24"/>
      <c r="K33" s="26" t="s">
        <v>772</v>
      </c>
      <c r="L33" s="26"/>
      <c r="M33" s="26"/>
      <c r="N33" s="26"/>
      <c r="O33" s="26"/>
      <c r="P33" s="26"/>
      <c r="Q33" s="26"/>
      <c r="R33" s="26"/>
      <c r="S33" s="26"/>
      <c r="T33" s="26"/>
      <c r="U33" s="26"/>
      <c r="V33" s="26" t="s">
        <v>772</v>
      </c>
      <c r="W33" s="26"/>
    </row>
    <row r="34" spans="1:23" ht="86.25" thickBot="1" x14ac:dyDescent="0.3">
      <c r="A34" s="10" t="s">
        <v>97</v>
      </c>
      <c r="B34" s="10" t="s">
        <v>98</v>
      </c>
      <c r="C34" s="27" t="s">
        <v>103</v>
      </c>
      <c r="D34" s="10" t="s">
        <v>104</v>
      </c>
      <c r="E34" s="10" t="s">
        <v>105</v>
      </c>
      <c r="F34" s="10" t="s">
        <v>71</v>
      </c>
      <c r="G34" s="10" t="s">
        <v>774</v>
      </c>
      <c r="H34" s="10" t="s">
        <v>106</v>
      </c>
      <c r="I34" s="24" t="s">
        <v>18</v>
      </c>
      <c r="J34" s="24"/>
      <c r="K34" s="26" t="s">
        <v>772</v>
      </c>
      <c r="L34" s="26" t="s">
        <v>772</v>
      </c>
      <c r="M34" s="26"/>
      <c r="N34" s="26"/>
      <c r="O34" s="26"/>
      <c r="P34" s="26"/>
      <c r="Q34" s="26"/>
      <c r="R34" s="26"/>
      <c r="S34" s="26"/>
      <c r="T34" s="26"/>
      <c r="U34" s="26"/>
      <c r="V34" s="26" t="s">
        <v>772</v>
      </c>
      <c r="W34" s="26"/>
    </row>
    <row r="35" spans="1:23" ht="72" thickBot="1" x14ac:dyDescent="0.3">
      <c r="A35" s="10" t="s">
        <v>97</v>
      </c>
      <c r="B35" s="10" t="s">
        <v>98</v>
      </c>
      <c r="C35" s="27" t="s">
        <v>107</v>
      </c>
      <c r="D35" s="10" t="s">
        <v>108</v>
      </c>
      <c r="E35" s="10" t="s">
        <v>105</v>
      </c>
      <c r="F35" s="10" t="s">
        <v>16</v>
      </c>
      <c r="G35" s="10" t="s">
        <v>774</v>
      </c>
      <c r="H35" s="10" t="s">
        <v>17</v>
      </c>
      <c r="I35" s="24" t="s">
        <v>18</v>
      </c>
      <c r="J35" s="24"/>
      <c r="K35" s="26" t="s">
        <v>772</v>
      </c>
      <c r="L35" s="26" t="s">
        <v>772</v>
      </c>
      <c r="M35" s="26"/>
      <c r="N35" s="26"/>
      <c r="O35" s="26"/>
      <c r="P35" s="26"/>
      <c r="Q35" s="26"/>
      <c r="R35" s="26"/>
      <c r="S35" s="26"/>
      <c r="T35" s="26"/>
      <c r="U35" s="26"/>
      <c r="V35" s="26"/>
      <c r="W35" s="26"/>
    </row>
    <row r="36" spans="1:23" ht="81.95" customHeight="1" thickBot="1" x14ac:dyDescent="0.3">
      <c r="A36" s="10" t="s">
        <v>97</v>
      </c>
      <c r="B36" s="10" t="s">
        <v>98</v>
      </c>
      <c r="C36" s="34" t="s">
        <v>109</v>
      </c>
      <c r="D36" s="10" t="s">
        <v>110</v>
      </c>
      <c r="E36" s="10" t="s">
        <v>15</v>
      </c>
      <c r="F36" s="10" t="s">
        <v>16</v>
      </c>
      <c r="G36" s="10" t="s">
        <v>773</v>
      </c>
      <c r="H36" s="10" t="s">
        <v>17</v>
      </c>
      <c r="I36" s="24" t="s">
        <v>18</v>
      </c>
      <c r="J36" s="24"/>
      <c r="K36" s="26" t="s">
        <v>772</v>
      </c>
      <c r="L36" s="26"/>
      <c r="M36" s="26"/>
      <c r="N36" s="26"/>
      <c r="O36" s="26"/>
      <c r="P36" s="26"/>
      <c r="Q36" s="26"/>
      <c r="R36" s="26" t="s">
        <v>772</v>
      </c>
      <c r="S36" s="26"/>
      <c r="T36" s="26"/>
      <c r="U36" s="26"/>
      <c r="V36" s="26" t="s">
        <v>772</v>
      </c>
      <c r="W36" s="26"/>
    </row>
    <row r="37" spans="1:23" ht="86.25" thickBot="1" x14ac:dyDescent="0.3">
      <c r="A37" s="10" t="s">
        <v>97</v>
      </c>
      <c r="B37" s="10" t="s">
        <v>98</v>
      </c>
      <c r="C37" s="30" t="s">
        <v>111</v>
      </c>
      <c r="D37" s="10" t="s">
        <v>112</v>
      </c>
      <c r="E37" s="10" t="s">
        <v>85</v>
      </c>
      <c r="F37" s="10" t="s">
        <v>71</v>
      </c>
      <c r="G37" s="10" t="s">
        <v>776</v>
      </c>
      <c r="H37" s="10" t="s">
        <v>113</v>
      </c>
      <c r="I37" s="24" t="s">
        <v>18</v>
      </c>
      <c r="J37" s="24"/>
      <c r="K37" s="26"/>
      <c r="L37" s="26" t="s">
        <v>772</v>
      </c>
      <c r="M37" s="26"/>
      <c r="N37" s="26"/>
      <c r="O37" s="26"/>
      <c r="P37" s="26"/>
      <c r="Q37" s="26"/>
      <c r="R37" s="26"/>
      <c r="S37" s="26"/>
      <c r="T37" s="26"/>
      <c r="U37" s="26"/>
      <c r="V37" s="26" t="s">
        <v>772</v>
      </c>
      <c r="W37" s="26" t="s">
        <v>772</v>
      </c>
    </row>
    <row r="38" spans="1:23" ht="43.5" thickBot="1" x14ac:dyDescent="0.3">
      <c r="A38" s="10" t="s">
        <v>114</v>
      </c>
      <c r="B38" s="10" t="s">
        <v>115</v>
      </c>
      <c r="C38" s="29" t="s">
        <v>119</v>
      </c>
      <c r="D38" s="10" t="s">
        <v>120</v>
      </c>
      <c r="E38" s="10" t="s">
        <v>105</v>
      </c>
      <c r="F38" s="10" t="s">
        <v>16</v>
      </c>
      <c r="G38" s="10" t="s">
        <v>774</v>
      </c>
      <c r="H38" s="10" t="s">
        <v>17</v>
      </c>
      <c r="I38" s="24" t="s">
        <v>45</v>
      </c>
      <c r="J38" s="24"/>
      <c r="K38" s="26"/>
      <c r="L38" s="26" t="s">
        <v>772</v>
      </c>
      <c r="M38" s="26"/>
      <c r="N38" s="26"/>
      <c r="O38" s="26"/>
      <c r="P38" s="26"/>
      <c r="Q38" s="26"/>
      <c r="R38" s="26"/>
      <c r="S38" s="26"/>
      <c r="T38" s="26"/>
      <c r="U38" s="26"/>
      <c r="V38" s="26" t="s">
        <v>772</v>
      </c>
      <c r="W38" s="26" t="s">
        <v>772</v>
      </c>
    </row>
    <row r="39" spans="1:23" ht="57.75" thickBot="1" x14ac:dyDescent="0.3">
      <c r="A39" s="10" t="s">
        <v>114</v>
      </c>
      <c r="B39" s="10" t="s">
        <v>115</v>
      </c>
      <c r="C39" s="29" t="s">
        <v>121</v>
      </c>
      <c r="D39" s="10" t="s">
        <v>122</v>
      </c>
      <c r="E39" s="10" t="s">
        <v>105</v>
      </c>
      <c r="F39" s="10" t="s">
        <v>16</v>
      </c>
      <c r="G39" s="10" t="s">
        <v>774</v>
      </c>
      <c r="H39" s="10" t="s">
        <v>17</v>
      </c>
      <c r="I39" s="24" t="s">
        <v>45</v>
      </c>
      <c r="J39" s="24"/>
      <c r="K39" s="26"/>
      <c r="L39" s="26" t="s">
        <v>772</v>
      </c>
      <c r="M39" s="26"/>
      <c r="N39" s="26"/>
      <c r="O39" s="26"/>
      <c r="P39" s="26"/>
      <c r="Q39" s="26"/>
      <c r="R39" s="26"/>
      <c r="S39" s="26"/>
      <c r="T39" s="26"/>
      <c r="U39" s="26"/>
      <c r="V39" s="26" t="s">
        <v>772</v>
      </c>
      <c r="W39" s="26" t="s">
        <v>772</v>
      </c>
    </row>
    <row r="40" spans="1:23" ht="86.25" thickBot="1" x14ac:dyDescent="0.3">
      <c r="A40" s="10" t="s">
        <v>114</v>
      </c>
      <c r="B40" s="10" t="s">
        <v>115</v>
      </c>
      <c r="C40" s="29" t="s">
        <v>116</v>
      </c>
      <c r="D40" s="10" t="s">
        <v>117</v>
      </c>
      <c r="E40" s="10" t="s">
        <v>118</v>
      </c>
      <c r="F40" s="10" t="s">
        <v>16</v>
      </c>
      <c r="G40" s="10" t="s">
        <v>774</v>
      </c>
      <c r="H40" s="10" t="s">
        <v>17</v>
      </c>
      <c r="I40" s="24" t="s">
        <v>18</v>
      </c>
      <c r="J40" s="24"/>
      <c r="K40" s="26"/>
      <c r="L40" s="26" t="s">
        <v>772</v>
      </c>
      <c r="M40" s="26"/>
      <c r="N40" s="26"/>
      <c r="O40" s="26"/>
      <c r="P40" s="26"/>
      <c r="Q40" s="26"/>
      <c r="R40" s="26"/>
      <c r="S40" s="26"/>
      <c r="T40" s="26"/>
      <c r="U40" s="26"/>
      <c r="V40" s="26" t="s">
        <v>772</v>
      </c>
      <c r="W40" s="26" t="s">
        <v>772</v>
      </c>
    </row>
    <row r="41" spans="1:23" ht="72" thickBot="1" x14ac:dyDescent="0.3">
      <c r="A41" s="10" t="s">
        <v>114</v>
      </c>
      <c r="B41" s="10" t="s">
        <v>115</v>
      </c>
      <c r="C41" s="29" t="s">
        <v>128</v>
      </c>
      <c r="D41" s="10" t="s">
        <v>129</v>
      </c>
      <c r="E41" s="10" t="s">
        <v>105</v>
      </c>
      <c r="F41" s="10" t="s">
        <v>16</v>
      </c>
      <c r="G41" s="10" t="s">
        <v>774</v>
      </c>
      <c r="H41" s="10" t="s">
        <v>17</v>
      </c>
      <c r="I41" s="24" t="s">
        <v>21</v>
      </c>
      <c r="J41" s="24"/>
      <c r="K41" s="26"/>
      <c r="L41" s="26" t="s">
        <v>772</v>
      </c>
      <c r="M41" s="26"/>
      <c r="N41" s="26"/>
      <c r="O41" s="26"/>
      <c r="P41" s="26"/>
      <c r="Q41" s="26"/>
      <c r="R41" s="26"/>
      <c r="S41" s="26"/>
      <c r="T41" s="26"/>
      <c r="U41" s="26"/>
      <c r="V41" s="26"/>
      <c r="W41" s="26"/>
    </row>
    <row r="42" spans="1:23" ht="57.75" thickBot="1" x14ac:dyDescent="0.3">
      <c r="A42" s="10" t="s">
        <v>114</v>
      </c>
      <c r="B42" s="10" t="s">
        <v>115</v>
      </c>
      <c r="C42" s="10" t="s">
        <v>130</v>
      </c>
      <c r="D42" s="10" t="s">
        <v>131</v>
      </c>
      <c r="E42" s="10" t="s">
        <v>105</v>
      </c>
      <c r="F42" s="10" t="s">
        <v>16</v>
      </c>
      <c r="G42" s="10" t="s">
        <v>776</v>
      </c>
      <c r="H42" s="10" t="s">
        <v>17</v>
      </c>
      <c r="I42" s="24" t="s">
        <v>18</v>
      </c>
      <c r="J42" s="24"/>
      <c r="K42" s="26" t="s">
        <v>772</v>
      </c>
      <c r="L42" s="26" t="s">
        <v>772</v>
      </c>
      <c r="M42" s="26"/>
      <c r="N42" s="26"/>
      <c r="O42" s="26"/>
      <c r="P42" s="26"/>
      <c r="Q42" s="26"/>
      <c r="R42" s="26" t="s">
        <v>772</v>
      </c>
      <c r="S42" s="26"/>
      <c r="T42" s="26"/>
      <c r="U42" s="26"/>
      <c r="V42" s="26" t="s">
        <v>772</v>
      </c>
      <c r="W42" s="26" t="s">
        <v>772</v>
      </c>
    </row>
    <row r="43" spans="1:23" ht="57.75" thickBot="1" x14ac:dyDescent="0.3">
      <c r="A43" s="10" t="s">
        <v>114</v>
      </c>
      <c r="B43" s="10" t="s">
        <v>115</v>
      </c>
      <c r="C43" s="10" t="s">
        <v>134</v>
      </c>
      <c r="D43" s="10" t="s">
        <v>135</v>
      </c>
      <c r="E43" s="10" t="s">
        <v>105</v>
      </c>
      <c r="F43" s="10" t="s">
        <v>16</v>
      </c>
      <c r="G43" s="10" t="s">
        <v>776</v>
      </c>
      <c r="H43" s="10" t="s">
        <v>17</v>
      </c>
      <c r="I43" s="24" t="s">
        <v>18</v>
      </c>
      <c r="J43" s="24"/>
      <c r="K43" s="26"/>
      <c r="L43" s="26" t="s">
        <v>772</v>
      </c>
      <c r="M43" s="26"/>
      <c r="N43" s="26"/>
      <c r="O43" s="26"/>
      <c r="P43" s="26"/>
      <c r="Q43" s="26"/>
      <c r="R43" s="26"/>
      <c r="S43" s="26"/>
      <c r="T43" s="26"/>
      <c r="U43" s="26"/>
      <c r="V43" s="26" t="s">
        <v>772</v>
      </c>
      <c r="W43" s="26" t="s">
        <v>772</v>
      </c>
    </row>
    <row r="44" spans="1:23" ht="72" thickBot="1" x14ac:dyDescent="0.3">
      <c r="A44" s="10" t="s">
        <v>114</v>
      </c>
      <c r="B44" s="10" t="s">
        <v>115</v>
      </c>
      <c r="C44" s="29" t="s">
        <v>136</v>
      </c>
      <c r="D44" s="10" t="s">
        <v>137</v>
      </c>
      <c r="E44" s="10" t="s">
        <v>105</v>
      </c>
      <c r="F44" s="10" t="s">
        <v>16</v>
      </c>
      <c r="G44" s="10" t="s">
        <v>774</v>
      </c>
      <c r="H44" s="10" t="s">
        <v>17</v>
      </c>
      <c r="I44" s="24" t="s">
        <v>21</v>
      </c>
      <c r="J44" s="24"/>
      <c r="K44" s="26"/>
      <c r="L44" s="26" t="s">
        <v>772</v>
      </c>
      <c r="M44" s="26"/>
      <c r="N44" s="26"/>
      <c r="O44" s="26"/>
      <c r="P44" s="26"/>
      <c r="Q44" s="26"/>
      <c r="R44" s="26"/>
      <c r="S44" s="26"/>
      <c r="T44" s="26"/>
      <c r="U44" s="26"/>
      <c r="V44" s="26"/>
      <c r="W44" s="26" t="s">
        <v>772</v>
      </c>
    </row>
    <row r="45" spans="1:23" ht="72" thickBot="1" x14ac:dyDescent="0.3">
      <c r="A45" s="10" t="s">
        <v>114</v>
      </c>
      <c r="B45" s="10" t="s">
        <v>138</v>
      </c>
      <c r="C45" s="23" t="s">
        <v>705</v>
      </c>
      <c r="D45" s="10" t="s">
        <v>778</v>
      </c>
      <c r="E45" s="10" t="s">
        <v>141</v>
      </c>
      <c r="F45" s="10" t="s">
        <v>16</v>
      </c>
      <c r="G45" s="10" t="s">
        <v>776</v>
      </c>
      <c r="H45" s="10" t="s">
        <v>17</v>
      </c>
      <c r="I45" s="24" t="s">
        <v>45</v>
      </c>
      <c r="J45" s="24"/>
      <c r="K45" s="26"/>
      <c r="L45" s="26" t="s">
        <v>772</v>
      </c>
      <c r="M45" s="26" t="s">
        <v>772</v>
      </c>
      <c r="N45" s="26"/>
      <c r="O45" s="26"/>
      <c r="P45" s="26"/>
      <c r="Q45" s="26"/>
      <c r="R45" s="26"/>
      <c r="S45" s="26"/>
      <c r="T45" s="26"/>
      <c r="U45" s="26"/>
      <c r="V45" s="26"/>
      <c r="W45" s="26"/>
    </row>
    <row r="46" spans="1:23" ht="72" thickBot="1" x14ac:dyDescent="0.3">
      <c r="A46" s="10" t="s">
        <v>114</v>
      </c>
      <c r="B46" s="10" t="s">
        <v>138</v>
      </c>
      <c r="C46" s="23" t="s">
        <v>706</v>
      </c>
      <c r="D46" s="10" t="s">
        <v>143</v>
      </c>
      <c r="E46" s="10" t="s">
        <v>141</v>
      </c>
      <c r="F46" s="10" t="s">
        <v>16</v>
      </c>
      <c r="G46" s="10" t="s">
        <v>776</v>
      </c>
      <c r="H46" s="10" t="s">
        <v>17</v>
      </c>
      <c r="I46" s="24" t="s">
        <v>45</v>
      </c>
      <c r="J46" s="24"/>
      <c r="K46" s="26"/>
      <c r="L46" s="26" t="s">
        <v>772</v>
      </c>
      <c r="M46" s="26" t="s">
        <v>772</v>
      </c>
      <c r="N46" s="26"/>
      <c r="O46" s="26"/>
      <c r="P46" s="26"/>
      <c r="Q46" s="26"/>
      <c r="R46" s="26"/>
      <c r="S46" s="26"/>
      <c r="T46" s="26"/>
      <c r="U46" s="26"/>
      <c r="V46" s="26"/>
      <c r="W46" s="26"/>
    </row>
    <row r="47" spans="1:23" ht="72" thickBot="1" x14ac:dyDescent="0.3">
      <c r="A47" s="10" t="s">
        <v>114</v>
      </c>
      <c r="B47" s="10" t="s">
        <v>138</v>
      </c>
      <c r="C47" s="23" t="s">
        <v>707</v>
      </c>
      <c r="D47" s="10" t="s">
        <v>708</v>
      </c>
      <c r="E47" s="10" t="s">
        <v>105</v>
      </c>
      <c r="F47" s="10" t="s">
        <v>16</v>
      </c>
      <c r="G47" s="10" t="s">
        <v>776</v>
      </c>
      <c r="H47" s="10" t="s">
        <v>17</v>
      </c>
      <c r="I47" s="24" t="s">
        <v>45</v>
      </c>
      <c r="J47" s="24"/>
      <c r="K47" s="26" t="s">
        <v>772</v>
      </c>
      <c r="L47" s="26" t="s">
        <v>772</v>
      </c>
      <c r="M47" s="26"/>
      <c r="N47" s="26"/>
      <c r="O47" s="26"/>
      <c r="P47" s="26"/>
      <c r="Q47" s="26"/>
      <c r="R47" s="26"/>
      <c r="S47" s="26"/>
      <c r="T47" s="26"/>
      <c r="U47" s="26"/>
      <c r="V47" s="26"/>
      <c r="W47" s="26"/>
    </row>
    <row r="48" spans="1:23" ht="43.5" thickBot="1" x14ac:dyDescent="0.3">
      <c r="A48" s="10" t="s">
        <v>114</v>
      </c>
      <c r="B48" s="10" t="s">
        <v>144</v>
      </c>
      <c r="C48" s="23" t="s">
        <v>145</v>
      </c>
      <c r="D48" s="10" t="s">
        <v>146</v>
      </c>
      <c r="E48" s="10" t="s">
        <v>51</v>
      </c>
      <c r="F48" s="10" t="s">
        <v>16</v>
      </c>
      <c r="G48" s="10" t="s">
        <v>776</v>
      </c>
      <c r="H48" s="10" t="s">
        <v>17</v>
      </c>
      <c r="I48" s="24" t="s">
        <v>18</v>
      </c>
      <c r="J48" s="24"/>
      <c r="K48" s="26"/>
      <c r="L48" s="26" t="s">
        <v>772</v>
      </c>
      <c r="M48" s="26" t="s">
        <v>772</v>
      </c>
      <c r="N48" s="26"/>
      <c r="O48" s="26"/>
      <c r="P48" s="26"/>
      <c r="Q48" s="26"/>
      <c r="R48" s="26"/>
      <c r="S48" s="26"/>
      <c r="T48" s="26"/>
      <c r="U48" s="26"/>
      <c r="V48" s="26"/>
      <c r="W48" s="26"/>
    </row>
    <row r="49" spans="1:23" ht="43.5" thickBot="1" x14ac:dyDescent="0.3">
      <c r="A49" s="10" t="s">
        <v>114</v>
      </c>
      <c r="B49" s="10" t="s">
        <v>144</v>
      </c>
      <c r="C49" s="23" t="s">
        <v>147</v>
      </c>
      <c r="D49" s="10" t="s">
        <v>148</v>
      </c>
      <c r="E49" s="10" t="s">
        <v>51</v>
      </c>
      <c r="F49" s="10" t="s">
        <v>16</v>
      </c>
      <c r="G49" s="10" t="s">
        <v>776</v>
      </c>
      <c r="H49" s="10" t="s">
        <v>17</v>
      </c>
      <c r="I49" s="24" t="s">
        <v>18</v>
      </c>
      <c r="J49" s="24"/>
      <c r="K49" s="26"/>
      <c r="L49" s="26" t="s">
        <v>772</v>
      </c>
      <c r="M49" s="26" t="s">
        <v>772</v>
      </c>
      <c r="N49" s="26"/>
      <c r="O49" s="26"/>
      <c r="P49" s="26"/>
      <c r="Q49" s="26"/>
      <c r="R49" s="26"/>
      <c r="S49" s="26"/>
      <c r="T49" s="26"/>
      <c r="U49" s="26"/>
      <c r="V49" s="26"/>
      <c r="W49" s="26"/>
    </row>
    <row r="50" spans="1:23" ht="86.25" thickBot="1" x14ac:dyDescent="0.3">
      <c r="A50" s="10" t="s">
        <v>114</v>
      </c>
      <c r="B50" s="10" t="s">
        <v>149</v>
      </c>
      <c r="C50" s="30" t="s">
        <v>150</v>
      </c>
      <c r="D50" s="10" t="s">
        <v>151</v>
      </c>
      <c r="E50" s="10" t="s">
        <v>85</v>
      </c>
      <c r="F50" s="10" t="s">
        <v>71</v>
      </c>
      <c r="G50" s="10" t="s">
        <v>776</v>
      </c>
      <c r="H50" s="10" t="s">
        <v>152</v>
      </c>
      <c r="I50" s="24" t="s">
        <v>18</v>
      </c>
      <c r="J50" s="24"/>
      <c r="K50" s="26"/>
      <c r="L50" s="26"/>
      <c r="M50" s="26"/>
      <c r="N50" s="26"/>
      <c r="O50" s="26"/>
      <c r="P50" s="26"/>
      <c r="Q50" s="26"/>
      <c r="R50" s="26"/>
      <c r="S50" s="26"/>
      <c r="T50" s="26"/>
      <c r="U50" s="26"/>
      <c r="V50" s="26"/>
      <c r="W50" s="26" t="s">
        <v>772</v>
      </c>
    </row>
    <row r="51" spans="1:23" ht="72" thickBot="1" x14ac:dyDescent="0.3">
      <c r="A51" s="10" t="s">
        <v>114</v>
      </c>
      <c r="B51" s="10" t="s">
        <v>153</v>
      </c>
      <c r="C51" s="35" t="s">
        <v>154</v>
      </c>
      <c r="D51" s="10" t="s">
        <v>155</v>
      </c>
      <c r="E51" s="10" t="s">
        <v>15</v>
      </c>
      <c r="F51" s="10" t="s">
        <v>16</v>
      </c>
      <c r="G51" s="10" t="s">
        <v>773</v>
      </c>
      <c r="H51" s="10" t="s">
        <v>17</v>
      </c>
      <c r="I51" s="24" t="s">
        <v>21</v>
      </c>
      <c r="J51" s="24"/>
      <c r="K51" s="26" t="s">
        <v>772</v>
      </c>
      <c r="L51" s="26"/>
      <c r="M51" s="26" t="s">
        <v>772</v>
      </c>
      <c r="N51" s="26"/>
      <c r="O51" s="26"/>
      <c r="P51" s="26"/>
      <c r="Q51" s="26"/>
      <c r="R51" s="26" t="s">
        <v>772</v>
      </c>
      <c r="S51" s="26"/>
      <c r="T51" s="26"/>
      <c r="U51" s="26"/>
      <c r="V51" s="26"/>
      <c r="W51" s="26"/>
    </row>
    <row r="52" spans="1:23" ht="72" thickBot="1" x14ac:dyDescent="0.3">
      <c r="A52" s="10" t="s">
        <v>114</v>
      </c>
      <c r="B52" s="10" t="s">
        <v>153</v>
      </c>
      <c r="C52" s="35" t="s">
        <v>156</v>
      </c>
      <c r="D52" s="10" t="s">
        <v>157</v>
      </c>
      <c r="E52" s="10" t="s">
        <v>15</v>
      </c>
      <c r="F52" s="10" t="s">
        <v>16</v>
      </c>
      <c r="G52" s="10" t="s">
        <v>773</v>
      </c>
      <c r="H52" s="10" t="s">
        <v>17</v>
      </c>
      <c r="I52" s="24" t="s">
        <v>21</v>
      </c>
      <c r="J52" s="24"/>
      <c r="K52" s="26" t="s">
        <v>772</v>
      </c>
      <c r="L52" s="26"/>
      <c r="M52" s="26" t="s">
        <v>772</v>
      </c>
      <c r="N52" s="26"/>
      <c r="O52" s="26"/>
      <c r="P52" s="26"/>
      <c r="Q52" s="26"/>
      <c r="R52" s="26" t="s">
        <v>772</v>
      </c>
      <c r="S52" s="26"/>
      <c r="T52" s="26"/>
      <c r="U52" s="26"/>
      <c r="V52" s="26"/>
      <c r="W52" s="26"/>
    </row>
    <row r="53" spans="1:23" ht="72" thickBot="1" x14ac:dyDescent="0.3">
      <c r="A53" s="10" t="s">
        <v>114</v>
      </c>
      <c r="B53" s="10" t="s">
        <v>153</v>
      </c>
      <c r="C53" s="35" t="s">
        <v>709</v>
      </c>
      <c r="D53" s="10" t="s">
        <v>711</v>
      </c>
      <c r="E53" s="10" t="s">
        <v>15</v>
      </c>
      <c r="F53" s="10" t="s">
        <v>16</v>
      </c>
      <c r="G53" s="10" t="s">
        <v>773</v>
      </c>
      <c r="H53" s="10" t="s">
        <v>17</v>
      </c>
      <c r="I53" s="24" t="s">
        <v>18</v>
      </c>
      <c r="J53" s="24"/>
      <c r="K53" s="26" t="s">
        <v>772</v>
      </c>
      <c r="L53" s="26"/>
      <c r="M53" s="26"/>
      <c r="N53" s="26"/>
      <c r="O53" s="26"/>
      <c r="P53" s="26"/>
      <c r="Q53" s="26"/>
      <c r="R53" s="26" t="s">
        <v>772</v>
      </c>
      <c r="S53" s="26"/>
      <c r="T53" s="26" t="s">
        <v>772</v>
      </c>
      <c r="U53" s="26"/>
      <c r="V53" s="26"/>
      <c r="W53" s="26"/>
    </row>
    <row r="54" spans="1:23" ht="72" thickBot="1" x14ac:dyDescent="0.3">
      <c r="A54" s="10" t="s">
        <v>114</v>
      </c>
      <c r="B54" s="10" t="s">
        <v>153</v>
      </c>
      <c r="C54" s="35" t="s">
        <v>710</v>
      </c>
      <c r="D54" s="10" t="s">
        <v>712</v>
      </c>
      <c r="E54" s="10" t="s">
        <v>15</v>
      </c>
      <c r="F54" s="10" t="s">
        <v>16</v>
      </c>
      <c r="G54" s="10" t="s">
        <v>773</v>
      </c>
      <c r="H54" s="10" t="s">
        <v>17</v>
      </c>
      <c r="I54" s="24" t="s">
        <v>18</v>
      </c>
      <c r="J54" s="24"/>
      <c r="K54" s="26" t="s">
        <v>772</v>
      </c>
      <c r="L54" s="26"/>
      <c r="M54" s="26"/>
      <c r="N54" s="26"/>
      <c r="O54" s="26"/>
      <c r="P54" s="26"/>
      <c r="Q54" s="26"/>
      <c r="R54" s="26" t="s">
        <v>772</v>
      </c>
      <c r="S54" s="26"/>
      <c r="T54" s="26" t="s">
        <v>772</v>
      </c>
      <c r="U54" s="26"/>
      <c r="V54" s="26"/>
      <c r="W54" s="26"/>
    </row>
    <row r="55" spans="1:23" ht="57.75" thickBot="1" x14ac:dyDescent="0.3">
      <c r="A55" s="10" t="s">
        <v>114</v>
      </c>
      <c r="B55" s="10" t="s">
        <v>153</v>
      </c>
      <c r="C55" s="35" t="s">
        <v>160</v>
      </c>
      <c r="D55" s="10" t="s">
        <v>161</v>
      </c>
      <c r="E55" s="10" t="s">
        <v>15</v>
      </c>
      <c r="F55" s="10" t="s">
        <v>16</v>
      </c>
      <c r="G55" s="10" t="s">
        <v>773</v>
      </c>
      <c r="H55" s="10" t="s">
        <v>17</v>
      </c>
      <c r="I55" s="24" t="s">
        <v>18</v>
      </c>
      <c r="J55" s="24"/>
      <c r="K55" s="26" t="s">
        <v>772</v>
      </c>
      <c r="L55" s="26"/>
      <c r="M55" s="26" t="s">
        <v>772</v>
      </c>
      <c r="N55" s="26"/>
      <c r="O55" s="26"/>
      <c r="P55" s="26"/>
      <c r="Q55" s="26"/>
      <c r="R55" s="26"/>
      <c r="S55" s="26"/>
      <c r="T55" s="26"/>
      <c r="U55" s="26"/>
      <c r="V55" s="26"/>
      <c r="W55" s="26"/>
    </row>
    <row r="56" spans="1:23" ht="57.75" thickBot="1" x14ac:dyDescent="0.3">
      <c r="A56" s="10" t="s">
        <v>114</v>
      </c>
      <c r="B56" s="10" t="s">
        <v>153</v>
      </c>
      <c r="C56" s="36" t="s">
        <v>162</v>
      </c>
      <c r="D56" s="10" t="s">
        <v>163</v>
      </c>
      <c r="E56" s="10" t="s">
        <v>15</v>
      </c>
      <c r="F56" s="10" t="s">
        <v>16</v>
      </c>
      <c r="G56" s="10" t="s">
        <v>773</v>
      </c>
      <c r="H56" s="10" t="s">
        <v>17</v>
      </c>
      <c r="I56" s="24" t="s">
        <v>18</v>
      </c>
      <c r="J56" s="24"/>
      <c r="K56" s="26"/>
      <c r="L56" s="26"/>
      <c r="M56" s="26" t="s">
        <v>772</v>
      </c>
      <c r="N56" s="26"/>
      <c r="O56" s="26"/>
      <c r="P56" s="26"/>
      <c r="Q56" s="26"/>
      <c r="R56" s="26"/>
      <c r="S56" s="26"/>
      <c r="T56" s="26"/>
      <c r="U56" s="26"/>
      <c r="V56" s="26"/>
      <c r="W56" s="26"/>
    </row>
    <row r="57" spans="1:23" ht="100.5" thickBot="1" x14ac:dyDescent="0.3">
      <c r="A57" s="10" t="s">
        <v>114</v>
      </c>
      <c r="B57" s="10" t="s">
        <v>172</v>
      </c>
      <c r="C57" s="10" t="s">
        <v>173</v>
      </c>
      <c r="D57" s="10" t="s">
        <v>174</v>
      </c>
      <c r="E57" s="10" t="s">
        <v>175</v>
      </c>
      <c r="F57" s="10" t="s">
        <v>176</v>
      </c>
      <c r="G57" s="10" t="s">
        <v>776</v>
      </c>
      <c r="H57" s="10" t="s">
        <v>177</v>
      </c>
      <c r="I57" s="24" t="s">
        <v>45</v>
      </c>
      <c r="J57" s="24"/>
      <c r="K57" s="26"/>
      <c r="L57" s="26"/>
      <c r="M57" s="26"/>
      <c r="N57" s="26"/>
      <c r="O57" s="26"/>
      <c r="P57" s="26"/>
      <c r="Q57" s="26"/>
      <c r="R57" s="26"/>
      <c r="S57" s="26"/>
      <c r="T57" s="26"/>
      <c r="U57" s="26"/>
      <c r="V57" s="26"/>
      <c r="W57" s="26" t="s">
        <v>772</v>
      </c>
    </row>
    <row r="58" spans="1:23" ht="86.25" thickBot="1" x14ac:dyDescent="0.3">
      <c r="A58" s="10" t="s">
        <v>114</v>
      </c>
      <c r="B58" s="10" t="s">
        <v>172</v>
      </c>
      <c r="C58" s="37" t="s">
        <v>178</v>
      </c>
      <c r="D58" s="10" t="s">
        <v>179</v>
      </c>
      <c r="E58" s="10" t="s">
        <v>105</v>
      </c>
      <c r="F58" s="10" t="s">
        <v>16</v>
      </c>
      <c r="G58" s="10" t="s">
        <v>779</v>
      </c>
      <c r="H58" s="10" t="s">
        <v>17</v>
      </c>
      <c r="I58" s="24" t="s">
        <v>18</v>
      </c>
      <c r="J58" s="24"/>
      <c r="K58" s="26"/>
      <c r="L58" s="26"/>
      <c r="M58" s="26"/>
      <c r="N58" s="26"/>
      <c r="O58" s="26"/>
      <c r="P58" s="26"/>
      <c r="Q58" s="26"/>
      <c r="R58" s="26"/>
      <c r="S58" s="26"/>
      <c r="T58" s="26"/>
      <c r="U58" s="26"/>
      <c r="V58" s="26" t="s">
        <v>772</v>
      </c>
      <c r="W58" s="26"/>
    </row>
    <row r="59" spans="1:23" ht="72" thickBot="1" x14ac:dyDescent="0.3">
      <c r="A59" s="10" t="s">
        <v>114</v>
      </c>
      <c r="B59" s="10" t="s">
        <v>183</v>
      </c>
      <c r="C59" s="27" t="s">
        <v>184</v>
      </c>
      <c r="D59" s="10" t="s">
        <v>185</v>
      </c>
      <c r="E59" s="10" t="s">
        <v>186</v>
      </c>
      <c r="F59" s="10" t="s">
        <v>16</v>
      </c>
      <c r="G59" s="10" t="s">
        <v>779</v>
      </c>
      <c r="H59" s="10" t="s">
        <v>17</v>
      </c>
      <c r="I59" s="24" t="s">
        <v>18</v>
      </c>
      <c r="J59" s="24"/>
      <c r="K59" s="26"/>
      <c r="L59" s="26"/>
      <c r="M59" s="26"/>
      <c r="N59" s="26"/>
      <c r="O59" s="26"/>
      <c r="P59" s="26"/>
      <c r="Q59" s="26"/>
      <c r="R59" s="26"/>
      <c r="S59" s="26" t="s">
        <v>772</v>
      </c>
      <c r="T59" s="26"/>
      <c r="U59" s="26"/>
      <c r="V59" s="26" t="s">
        <v>772</v>
      </c>
      <c r="W59" s="26"/>
    </row>
    <row r="60" spans="1:23" ht="57.75" thickBot="1" x14ac:dyDescent="0.3">
      <c r="A60" s="10" t="s">
        <v>187</v>
      </c>
      <c r="B60" s="10" t="s">
        <v>214</v>
      </c>
      <c r="C60" s="37" t="s">
        <v>215</v>
      </c>
      <c r="D60" s="10" t="s">
        <v>216</v>
      </c>
      <c r="E60" s="10" t="s">
        <v>82</v>
      </c>
      <c r="F60" s="10" t="s">
        <v>71</v>
      </c>
      <c r="G60" s="10" t="s">
        <v>779</v>
      </c>
      <c r="H60" s="10" t="s">
        <v>217</v>
      </c>
      <c r="I60" s="24" t="s">
        <v>45</v>
      </c>
      <c r="J60" s="24"/>
      <c r="K60" s="26"/>
      <c r="L60" s="26"/>
      <c r="M60" s="26"/>
      <c r="N60" s="26"/>
      <c r="O60" s="26"/>
      <c r="P60" s="26"/>
      <c r="Q60" s="26"/>
      <c r="R60" s="26"/>
      <c r="S60" s="26"/>
      <c r="T60" s="26"/>
      <c r="U60" s="26"/>
      <c r="V60" s="26" t="s">
        <v>772</v>
      </c>
      <c r="W60" s="26"/>
    </row>
    <row r="61" spans="1:23" ht="58.5" customHeight="1" thickBot="1" x14ac:dyDescent="0.3">
      <c r="A61" s="10" t="s">
        <v>187</v>
      </c>
      <c r="B61" s="10" t="s">
        <v>223</v>
      </c>
      <c r="C61" s="37" t="s">
        <v>224</v>
      </c>
      <c r="D61" s="10" t="s">
        <v>225</v>
      </c>
      <c r="E61" s="10" t="s">
        <v>82</v>
      </c>
      <c r="F61" s="10" t="s">
        <v>71</v>
      </c>
      <c r="G61" s="10" t="s">
        <v>779</v>
      </c>
      <c r="H61" s="10" t="s">
        <v>226</v>
      </c>
      <c r="I61" s="24" t="s">
        <v>18</v>
      </c>
      <c r="J61" s="24"/>
      <c r="K61" s="26"/>
      <c r="L61" s="26"/>
      <c r="M61" s="26"/>
      <c r="N61" s="26"/>
      <c r="O61" s="26"/>
      <c r="P61" s="26"/>
      <c r="Q61" s="26" t="s">
        <v>772</v>
      </c>
      <c r="R61" s="26"/>
      <c r="S61" s="26"/>
      <c r="T61" s="26"/>
      <c r="U61" s="26"/>
      <c r="V61" s="26" t="s">
        <v>772</v>
      </c>
      <c r="W61" s="26"/>
    </row>
    <row r="62" spans="1:23" ht="43.5" thickBot="1" x14ac:dyDescent="0.3">
      <c r="A62" s="10" t="s">
        <v>187</v>
      </c>
      <c r="B62" s="10" t="s">
        <v>223</v>
      </c>
      <c r="C62" s="37" t="s">
        <v>227</v>
      </c>
      <c r="D62" s="10" t="s">
        <v>228</v>
      </c>
      <c r="E62" s="10" t="s">
        <v>82</v>
      </c>
      <c r="F62" s="10" t="s">
        <v>71</v>
      </c>
      <c r="G62" s="10" t="s">
        <v>779</v>
      </c>
      <c r="H62" s="10" t="s">
        <v>229</v>
      </c>
      <c r="I62" s="24" t="s">
        <v>18</v>
      </c>
      <c r="J62" s="24"/>
      <c r="K62" s="26"/>
      <c r="L62" s="26"/>
      <c r="M62" s="26"/>
      <c r="N62" s="26"/>
      <c r="O62" s="26"/>
      <c r="P62" s="26"/>
      <c r="Q62" s="26" t="s">
        <v>772</v>
      </c>
      <c r="R62" s="26"/>
      <c r="S62" s="26"/>
      <c r="T62" s="26"/>
      <c r="U62" s="26"/>
      <c r="V62" s="26" t="s">
        <v>772</v>
      </c>
      <c r="W62" s="26"/>
    </row>
    <row r="63" spans="1:23" ht="57.75" thickBot="1" x14ac:dyDescent="0.3">
      <c r="A63" s="10" t="s">
        <v>271</v>
      </c>
      <c r="B63" s="10" t="s">
        <v>272</v>
      </c>
      <c r="C63" s="31" t="s">
        <v>273</v>
      </c>
      <c r="D63" s="10" t="s">
        <v>274</v>
      </c>
      <c r="E63" s="10" t="s">
        <v>24</v>
      </c>
      <c r="F63" s="10" t="s">
        <v>16</v>
      </c>
      <c r="G63" s="10" t="s">
        <v>779</v>
      </c>
      <c r="H63" s="10" t="s">
        <v>17</v>
      </c>
      <c r="I63" s="24" t="s">
        <v>18</v>
      </c>
      <c r="J63" s="24"/>
      <c r="K63" s="26" t="s">
        <v>772</v>
      </c>
      <c r="L63" s="26"/>
      <c r="M63" s="26"/>
      <c r="N63" s="26"/>
      <c r="O63" s="26"/>
      <c r="P63" s="26"/>
      <c r="Q63" s="26"/>
      <c r="R63" s="26"/>
      <c r="S63" s="26" t="s">
        <v>772</v>
      </c>
      <c r="T63" s="26" t="s">
        <v>772</v>
      </c>
      <c r="U63" s="26" t="s">
        <v>772</v>
      </c>
      <c r="V63" s="26"/>
      <c r="W63" s="26"/>
    </row>
    <row r="64" spans="1:23" ht="72" thickBot="1" x14ac:dyDescent="0.3">
      <c r="A64" s="10" t="s">
        <v>271</v>
      </c>
      <c r="B64" s="10" t="s">
        <v>272</v>
      </c>
      <c r="C64" s="31" t="s">
        <v>275</v>
      </c>
      <c r="D64" s="10" t="s">
        <v>276</v>
      </c>
      <c r="E64" s="10" t="s">
        <v>24</v>
      </c>
      <c r="F64" s="10" t="s">
        <v>16</v>
      </c>
      <c r="G64" s="10" t="s">
        <v>779</v>
      </c>
      <c r="H64" s="10" t="s">
        <v>17</v>
      </c>
      <c r="I64" s="24" t="s">
        <v>18</v>
      </c>
      <c r="J64" s="24"/>
      <c r="K64" s="26"/>
      <c r="L64" s="26"/>
      <c r="M64" s="26"/>
      <c r="N64" s="26" t="s">
        <v>772</v>
      </c>
      <c r="O64" s="26"/>
      <c r="P64" s="26"/>
      <c r="Q64" s="26"/>
      <c r="R64" s="26"/>
      <c r="S64" s="26" t="s">
        <v>772</v>
      </c>
      <c r="T64" s="26" t="s">
        <v>772</v>
      </c>
      <c r="U64" s="26" t="s">
        <v>772</v>
      </c>
      <c r="V64" s="26"/>
      <c r="W64" s="26"/>
    </row>
    <row r="65" spans="1:23" ht="72" thickBot="1" x14ac:dyDescent="0.3">
      <c r="A65" s="10" t="s">
        <v>271</v>
      </c>
      <c r="B65" s="10" t="s">
        <v>272</v>
      </c>
      <c r="C65" s="31" t="s">
        <v>277</v>
      </c>
      <c r="D65" s="10" t="s">
        <v>278</v>
      </c>
      <c r="E65" s="10" t="s">
        <v>24</v>
      </c>
      <c r="F65" s="10" t="s">
        <v>16</v>
      </c>
      <c r="G65" s="10" t="s">
        <v>779</v>
      </c>
      <c r="H65" s="10"/>
      <c r="I65" s="24"/>
      <c r="J65" s="24"/>
      <c r="K65" s="26"/>
      <c r="L65" s="26"/>
      <c r="M65" s="26"/>
      <c r="N65" s="26" t="s">
        <v>772</v>
      </c>
      <c r="O65" s="26"/>
      <c r="P65" s="26"/>
      <c r="Q65" s="26"/>
      <c r="R65" s="26"/>
      <c r="S65" s="26" t="s">
        <v>772</v>
      </c>
      <c r="T65" s="26" t="s">
        <v>772</v>
      </c>
      <c r="U65" s="26" t="s">
        <v>772</v>
      </c>
      <c r="V65" s="26"/>
      <c r="W65" s="26"/>
    </row>
    <row r="66" spans="1:23" ht="72" thickBot="1" x14ac:dyDescent="0.3">
      <c r="A66" s="10" t="s">
        <v>271</v>
      </c>
      <c r="B66" s="10" t="s">
        <v>272</v>
      </c>
      <c r="C66" s="33" t="s">
        <v>279</v>
      </c>
      <c r="D66" s="10" t="s">
        <v>280</v>
      </c>
      <c r="E66" s="10" t="s">
        <v>24</v>
      </c>
      <c r="F66" s="10" t="s">
        <v>71</v>
      </c>
      <c r="G66" s="10" t="s">
        <v>779</v>
      </c>
      <c r="H66" s="10" t="s">
        <v>281</v>
      </c>
      <c r="I66" s="24" t="s">
        <v>45</v>
      </c>
      <c r="J66" s="24"/>
      <c r="K66" s="26"/>
      <c r="L66" s="26"/>
      <c r="M66" s="26"/>
      <c r="N66" s="26"/>
      <c r="O66" s="26"/>
      <c r="P66" s="26"/>
      <c r="Q66" s="26"/>
      <c r="R66" s="26"/>
      <c r="S66" s="26" t="s">
        <v>772</v>
      </c>
      <c r="T66" s="26" t="s">
        <v>772</v>
      </c>
      <c r="U66" s="26"/>
      <c r="V66" s="26" t="s">
        <v>772</v>
      </c>
      <c r="W66" s="26"/>
    </row>
    <row r="67" spans="1:23" ht="57.75" thickBot="1" x14ac:dyDescent="0.3">
      <c r="A67" s="10" t="s">
        <v>271</v>
      </c>
      <c r="B67" s="10" t="s">
        <v>282</v>
      </c>
      <c r="C67" s="34" t="s">
        <v>283</v>
      </c>
      <c r="D67" s="10" t="s">
        <v>284</v>
      </c>
      <c r="E67" s="10" t="s">
        <v>15</v>
      </c>
      <c r="F67" s="10" t="s">
        <v>16</v>
      </c>
      <c r="G67" s="10" t="s">
        <v>773</v>
      </c>
      <c r="H67" s="10" t="s">
        <v>17</v>
      </c>
      <c r="I67" s="24" t="s">
        <v>21</v>
      </c>
      <c r="J67" s="24"/>
      <c r="K67" s="26" t="s">
        <v>772</v>
      </c>
      <c r="L67" s="26"/>
      <c r="M67" s="26"/>
      <c r="N67" s="26"/>
      <c r="O67" s="26"/>
      <c r="P67" s="26"/>
      <c r="Q67" s="26"/>
      <c r="R67" s="26"/>
      <c r="S67" s="26"/>
      <c r="T67" s="26"/>
      <c r="U67" s="26"/>
      <c r="V67" s="26"/>
      <c r="W67" s="26"/>
    </row>
    <row r="68" spans="1:23" ht="57.75" thickBot="1" x14ac:dyDescent="0.3">
      <c r="A68" s="10" t="s">
        <v>271</v>
      </c>
      <c r="B68" s="10" t="s">
        <v>282</v>
      </c>
      <c r="C68" s="34" t="s">
        <v>285</v>
      </c>
      <c r="D68" s="10" t="s">
        <v>286</v>
      </c>
      <c r="E68" s="10" t="s">
        <v>15</v>
      </c>
      <c r="F68" s="10" t="s">
        <v>16</v>
      </c>
      <c r="G68" s="10" t="s">
        <v>773</v>
      </c>
      <c r="H68" s="10" t="s">
        <v>17</v>
      </c>
      <c r="I68" s="24" t="s">
        <v>21</v>
      </c>
      <c r="J68" s="24"/>
      <c r="K68" s="26" t="s">
        <v>772</v>
      </c>
      <c r="L68" s="26"/>
      <c r="M68" s="26"/>
      <c r="N68" s="26"/>
      <c r="O68" s="26"/>
      <c r="P68" s="26"/>
      <c r="Q68" s="26"/>
      <c r="R68" s="26"/>
      <c r="S68" s="26"/>
      <c r="T68" s="26"/>
      <c r="U68" s="26"/>
      <c r="V68" s="26"/>
      <c r="W68" s="26"/>
    </row>
    <row r="69" spans="1:23" ht="72" thickBot="1" x14ac:dyDescent="0.3">
      <c r="A69" s="10" t="s">
        <v>271</v>
      </c>
      <c r="B69" s="10" t="s">
        <v>282</v>
      </c>
      <c r="C69" s="32" t="s">
        <v>714</v>
      </c>
      <c r="D69" s="10" t="s">
        <v>713</v>
      </c>
      <c r="E69" s="10" t="s">
        <v>24</v>
      </c>
      <c r="F69" s="10" t="s">
        <v>71</v>
      </c>
      <c r="G69" s="10" t="s">
        <v>774</v>
      </c>
      <c r="H69" s="10" t="s">
        <v>288</v>
      </c>
      <c r="I69" s="24" t="s">
        <v>18</v>
      </c>
      <c r="J69" s="24"/>
      <c r="K69" s="26" t="s">
        <v>772</v>
      </c>
      <c r="L69" s="26"/>
      <c r="M69" s="26"/>
      <c r="N69" s="26"/>
      <c r="O69" s="26"/>
      <c r="P69" s="26"/>
      <c r="Q69" s="26"/>
      <c r="R69" s="26"/>
      <c r="S69" s="26"/>
      <c r="T69" s="26"/>
      <c r="U69" s="26"/>
      <c r="V69" s="26"/>
      <c r="W69" s="26"/>
    </row>
    <row r="70" spans="1:23" ht="86.25" thickBot="1" x14ac:dyDescent="0.3">
      <c r="A70" s="10" t="s">
        <v>289</v>
      </c>
      <c r="B70" s="10" t="s">
        <v>290</v>
      </c>
      <c r="C70" s="38" t="s">
        <v>291</v>
      </c>
      <c r="D70" s="10" t="s">
        <v>292</v>
      </c>
      <c r="E70" s="10" t="s">
        <v>15</v>
      </c>
      <c r="F70" s="10" t="s">
        <v>293</v>
      </c>
      <c r="G70" s="10" t="s">
        <v>779</v>
      </c>
      <c r="H70" s="10" t="s">
        <v>294</v>
      </c>
      <c r="I70" s="24" t="s">
        <v>18</v>
      </c>
      <c r="J70" s="24"/>
      <c r="K70" s="26" t="s">
        <v>772</v>
      </c>
      <c r="L70" s="26"/>
      <c r="M70" s="26"/>
      <c r="N70" s="26"/>
      <c r="O70" s="26"/>
      <c r="P70" s="26"/>
      <c r="Q70" s="26"/>
      <c r="R70" s="26" t="s">
        <v>772</v>
      </c>
      <c r="S70" s="26"/>
      <c r="T70" s="26"/>
      <c r="U70" s="26"/>
      <c r="V70" s="26" t="s">
        <v>772</v>
      </c>
      <c r="W70" s="26"/>
    </row>
    <row r="71" spans="1:23" ht="57.75" thickBot="1" x14ac:dyDescent="0.3">
      <c r="A71" s="10" t="s">
        <v>289</v>
      </c>
      <c r="B71" s="10" t="s">
        <v>295</v>
      </c>
      <c r="C71" s="38" t="s">
        <v>296</v>
      </c>
      <c r="D71" s="10" t="s">
        <v>297</v>
      </c>
      <c r="E71" s="10" t="s">
        <v>15</v>
      </c>
      <c r="F71" s="10" t="s">
        <v>16</v>
      </c>
      <c r="G71" s="10" t="s">
        <v>779</v>
      </c>
      <c r="H71" s="10"/>
      <c r="I71" s="24" t="s">
        <v>18</v>
      </c>
      <c r="J71" s="24"/>
      <c r="K71" s="26" t="s">
        <v>772</v>
      </c>
      <c r="L71" s="26"/>
      <c r="M71" s="26"/>
      <c r="N71" s="26"/>
      <c r="O71" s="26"/>
      <c r="P71" s="26"/>
      <c r="Q71" s="26"/>
      <c r="R71" s="26" t="s">
        <v>772</v>
      </c>
      <c r="S71" s="26"/>
      <c r="T71" s="26"/>
      <c r="U71" s="26"/>
      <c r="V71" s="26" t="s">
        <v>772</v>
      </c>
      <c r="W71" s="26"/>
    </row>
    <row r="72" spans="1:23" ht="100.5" thickBot="1" x14ac:dyDescent="0.3">
      <c r="A72" s="10" t="s">
        <v>289</v>
      </c>
      <c r="B72" s="10" t="s">
        <v>298</v>
      </c>
      <c r="C72" s="30" t="s">
        <v>299</v>
      </c>
      <c r="D72" s="10" t="s">
        <v>300</v>
      </c>
      <c r="E72" s="10" t="s">
        <v>703</v>
      </c>
      <c r="F72" s="10" t="s">
        <v>176</v>
      </c>
      <c r="G72" s="10" t="s">
        <v>776</v>
      </c>
      <c r="H72" s="10" t="s">
        <v>301</v>
      </c>
      <c r="I72" s="24" t="s">
        <v>18</v>
      </c>
      <c r="J72" s="24"/>
      <c r="K72" s="26" t="s">
        <v>772</v>
      </c>
      <c r="L72" s="26"/>
      <c r="M72" s="26"/>
      <c r="N72" s="26"/>
      <c r="O72" s="26"/>
      <c r="P72" s="26"/>
      <c r="Q72" s="26"/>
      <c r="R72" s="26"/>
      <c r="S72" s="26"/>
      <c r="T72" s="26"/>
      <c r="U72" s="26"/>
      <c r="V72" s="26" t="s">
        <v>772</v>
      </c>
      <c r="W72" s="26"/>
    </row>
    <row r="73" spans="1:23" ht="86.25" thickBot="1" x14ac:dyDescent="0.3">
      <c r="A73" s="10" t="s">
        <v>289</v>
      </c>
      <c r="B73" s="10" t="s">
        <v>302</v>
      </c>
      <c r="C73" s="27" t="s">
        <v>303</v>
      </c>
      <c r="D73" s="10" t="s">
        <v>304</v>
      </c>
      <c r="E73" s="10" t="s">
        <v>15</v>
      </c>
      <c r="F73" s="10" t="s">
        <v>293</v>
      </c>
      <c r="G73" s="10" t="s">
        <v>779</v>
      </c>
      <c r="H73" s="10" t="s">
        <v>305</v>
      </c>
      <c r="I73" s="24" t="s">
        <v>18</v>
      </c>
      <c r="J73" s="24"/>
      <c r="K73" s="26" t="s">
        <v>772</v>
      </c>
      <c r="L73" s="26"/>
      <c r="M73" s="26"/>
      <c r="N73" s="26" t="s">
        <v>772</v>
      </c>
      <c r="O73" s="26"/>
      <c r="P73" s="26"/>
      <c r="Q73" s="26"/>
      <c r="R73" s="26" t="s">
        <v>772</v>
      </c>
      <c r="S73" s="26"/>
      <c r="T73" s="26"/>
      <c r="U73" s="26"/>
      <c r="V73" s="26"/>
      <c r="W73" s="26"/>
    </row>
    <row r="74" spans="1:23" ht="171.75" thickBot="1" x14ac:dyDescent="0.3">
      <c r="A74" s="10" t="s">
        <v>289</v>
      </c>
      <c r="B74" s="10" t="s">
        <v>306</v>
      </c>
      <c r="C74" s="37" t="s">
        <v>307</v>
      </c>
      <c r="D74" s="10" t="s">
        <v>308</v>
      </c>
      <c r="E74" s="10" t="s">
        <v>309</v>
      </c>
      <c r="F74" s="10" t="s">
        <v>71</v>
      </c>
      <c r="G74" s="10" t="s">
        <v>779</v>
      </c>
      <c r="H74" s="10" t="s">
        <v>310</v>
      </c>
      <c r="I74" s="24" t="s">
        <v>18</v>
      </c>
      <c r="J74" s="24"/>
      <c r="K74" s="26" t="s">
        <v>772</v>
      </c>
      <c r="L74" s="26"/>
      <c r="M74" s="26"/>
      <c r="N74" s="26"/>
      <c r="O74" s="26"/>
      <c r="P74" s="26"/>
      <c r="Q74" s="26"/>
      <c r="R74" s="26"/>
      <c r="S74" s="26"/>
      <c r="T74" s="26"/>
      <c r="U74" s="26"/>
      <c r="V74" s="26" t="s">
        <v>772</v>
      </c>
      <c r="W74" s="26"/>
    </row>
    <row r="75" spans="1:23" ht="66.95" customHeight="1" thickBot="1" x14ac:dyDescent="0.3">
      <c r="A75" s="10" t="s">
        <v>289</v>
      </c>
      <c r="B75" s="10" t="s">
        <v>311</v>
      </c>
      <c r="C75" s="27" t="s">
        <v>780</v>
      </c>
      <c r="D75" s="10" t="s">
        <v>313</v>
      </c>
      <c r="E75" s="10" t="s">
        <v>186</v>
      </c>
      <c r="F75" s="10" t="s">
        <v>16</v>
      </c>
      <c r="G75" s="10" t="s">
        <v>779</v>
      </c>
      <c r="H75" s="10" t="s">
        <v>17</v>
      </c>
      <c r="I75" s="24" t="s">
        <v>45</v>
      </c>
      <c r="J75" s="24"/>
      <c r="K75" s="26"/>
      <c r="L75" s="26"/>
      <c r="M75" s="26"/>
      <c r="N75" s="26" t="s">
        <v>772</v>
      </c>
      <c r="O75" s="26"/>
      <c r="P75" s="26"/>
      <c r="Q75" s="26"/>
      <c r="R75" s="26" t="s">
        <v>772</v>
      </c>
      <c r="S75" s="26" t="s">
        <v>772</v>
      </c>
      <c r="T75" s="26"/>
      <c r="U75" s="26"/>
      <c r="V75" s="26" t="s">
        <v>772</v>
      </c>
      <c r="W75" s="2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326</v>
      </c>
      <c r="Q1" s="9" t="s">
        <v>327</v>
      </c>
    </row>
    <row r="2" spans="1:17" ht="15.75" thickBot="1" x14ac:dyDescent="0.3">
      <c r="O2" s="13" t="s">
        <v>328</v>
      </c>
      <c r="P2" s="15" t="s">
        <v>329</v>
      </c>
      <c r="Q2" s="15">
        <v>0</v>
      </c>
    </row>
    <row r="3" spans="1:17" ht="17.25" thickTop="1" thickBot="1" x14ac:dyDescent="0.3">
      <c r="O3" s="14" t="s">
        <v>330</v>
      </c>
      <c r="P3" s="16" t="s">
        <v>331</v>
      </c>
      <c r="Q3" s="16" t="s">
        <v>331</v>
      </c>
    </row>
    <row r="4" spans="1:17" ht="16.5" thickBot="1" x14ac:dyDescent="0.3">
      <c r="O4" s="14" t="s">
        <v>332</v>
      </c>
      <c r="P4" s="16" t="s">
        <v>333</v>
      </c>
      <c r="Q4" s="16" t="s">
        <v>334</v>
      </c>
    </row>
    <row r="5" spans="1:17" ht="16.5" thickBot="1" x14ac:dyDescent="0.3">
      <c r="O5" s="14" t="s">
        <v>335</v>
      </c>
      <c r="P5" s="16" t="s">
        <v>336</v>
      </c>
      <c r="Q5" s="16" t="s">
        <v>337</v>
      </c>
    </row>
    <row r="6" spans="1:17" x14ac:dyDescent="0.25">
      <c r="A6" s="7" t="s">
        <v>338</v>
      </c>
      <c r="E6" t="s">
        <v>339</v>
      </c>
      <c r="I6" t="s">
        <v>339</v>
      </c>
    </row>
    <row r="7" spans="1:17" x14ac:dyDescent="0.25">
      <c r="B7" s="9" t="s">
        <v>326</v>
      </c>
      <c r="C7" s="9" t="s">
        <v>327</v>
      </c>
      <c r="F7" s="9" t="s">
        <v>326</v>
      </c>
      <c r="G7" s="9" t="s">
        <v>327</v>
      </c>
      <c r="J7" s="9" t="s">
        <v>326</v>
      </c>
      <c r="K7" s="9" t="s">
        <v>327</v>
      </c>
    </row>
    <row r="8" spans="1:17" x14ac:dyDescent="0.25">
      <c r="A8" s="5" t="s">
        <v>16</v>
      </c>
      <c r="B8" s="8">
        <v>71</v>
      </c>
      <c r="C8" s="8"/>
      <c r="E8" s="5" t="s">
        <v>16</v>
      </c>
      <c r="F8" s="8">
        <v>72</v>
      </c>
      <c r="G8" s="8"/>
      <c r="I8" s="5" t="s">
        <v>16</v>
      </c>
      <c r="J8" s="8">
        <f>SUM(B19:B22)</f>
        <v>69</v>
      </c>
      <c r="K8" s="8"/>
    </row>
    <row r="9" spans="1:17" x14ac:dyDescent="0.25">
      <c r="A9" s="5" t="s">
        <v>37</v>
      </c>
      <c r="B9" s="8">
        <v>25</v>
      </c>
      <c r="C9" s="8">
        <v>24</v>
      </c>
      <c r="E9" s="5" t="s">
        <v>37</v>
      </c>
      <c r="F9" s="8">
        <v>23</v>
      </c>
      <c r="G9" s="8">
        <v>22</v>
      </c>
      <c r="I9" s="5" t="s">
        <v>37</v>
      </c>
      <c r="J9" s="8">
        <f>SUM(B23:B24)</f>
        <v>17</v>
      </c>
      <c r="K9" s="8">
        <f>SUM(B20:B21)</f>
        <v>16</v>
      </c>
    </row>
    <row r="10" spans="1:17" x14ac:dyDescent="0.25">
      <c r="A10" s="5" t="s">
        <v>125</v>
      </c>
      <c r="B10" s="8">
        <v>29</v>
      </c>
      <c r="C10" s="8">
        <v>11</v>
      </c>
      <c r="E10" s="5" t="s">
        <v>125</v>
      </c>
      <c r="F10" s="8">
        <v>21</v>
      </c>
      <c r="G10" s="8">
        <v>12</v>
      </c>
      <c r="I10" s="5" t="s">
        <v>125</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340</v>
      </c>
      <c r="B18" t="s">
        <v>341</v>
      </c>
    </row>
    <row r="19" spans="1:2" x14ac:dyDescent="0.25">
      <c r="A19" s="7" t="s">
        <v>16</v>
      </c>
      <c r="B19">
        <v>51</v>
      </c>
    </row>
    <row r="20" spans="1:2" x14ac:dyDescent="0.25">
      <c r="A20" s="7" t="s">
        <v>293</v>
      </c>
      <c r="B20">
        <v>2</v>
      </c>
    </row>
    <row r="21" spans="1:2" x14ac:dyDescent="0.25">
      <c r="A21" s="7" t="s">
        <v>71</v>
      </c>
      <c r="B21">
        <v>14</v>
      </c>
    </row>
    <row r="22" spans="1:2" x14ac:dyDescent="0.25">
      <c r="A22" s="7" t="s">
        <v>176</v>
      </c>
      <c r="B22">
        <v>2</v>
      </c>
    </row>
    <row r="23" spans="1:2" x14ac:dyDescent="0.25">
      <c r="A23" s="7" t="s">
        <v>37</v>
      </c>
      <c r="B23">
        <v>11</v>
      </c>
    </row>
    <row r="24" spans="1:2" x14ac:dyDescent="0.25">
      <c r="A24" s="7" t="s">
        <v>167</v>
      </c>
      <c r="B24">
        <v>6</v>
      </c>
    </row>
    <row r="25" spans="1:2" x14ac:dyDescent="0.25">
      <c r="A25" s="7" t="s">
        <v>125</v>
      </c>
      <c r="B25">
        <v>20</v>
      </c>
    </row>
    <row r="26" spans="1:2" x14ac:dyDescent="0.25">
      <c r="A26" s="7" t="s">
        <v>342</v>
      </c>
      <c r="B26">
        <v>106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L46"/>
  <sheetViews>
    <sheetView topLeftCell="A41" zoomScale="85" zoomScaleNormal="85" workbookViewId="0">
      <selection activeCell="J47" sqref="J47"/>
    </sheetView>
  </sheetViews>
  <sheetFormatPr defaultRowHeight="15" x14ac:dyDescent="0.25"/>
  <cols>
    <col min="1" max="8" width="27.85546875" customWidth="1"/>
    <col min="9" max="9" width="30.7109375" customWidth="1"/>
    <col min="10" max="10" width="36.85546875" customWidth="1"/>
  </cols>
  <sheetData>
    <row r="1" spans="1:9" x14ac:dyDescent="0.25">
      <c r="A1" s="1" t="s">
        <v>0</v>
      </c>
      <c r="B1" s="1" t="s">
        <v>1</v>
      </c>
      <c r="C1" s="1" t="s">
        <v>2</v>
      </c>
      <c r="D1" s="1" t="s">
        <v>3</v>
      </c>
      <c r="E1" s="1" t="s">
        <v>4</v>
      </c>
      <c r="F1" s="1" t="s">
        <v>5</v>
      </c>
      <c r="G1" s="1" t="s">
        <v>343</v>
      </c>
      <c r="H1" s="1" t="s">
        <v>344</v>
      </c>
      <c r="I1" s="1" t="s">
        <v>345</v>
      </c>
    </row>
    <row r="2" spans="1:9" ht="60" x14ac:dyDescent="0.25">
      <c r="A2" s="2" t="s">
        <v>11</v>
      </c>
      <c r="B2" s="2" t="s">
        <v>25</v>
      </c>
      <c r="C2" s="3" t="s">
        <v>346</v>
      </c>
      <c r="D2" s="2" t="s">
        <v>347</v>
      </c>
      <c r="E2" s="2" t="s">
        <v>24</v>
      </c>
      <c r="F2" s="2" t="s">
        <v>16</v>
      </c>
      <c r="G2" s="2" t="s">
        <v>17</v>
      </c>
      <c r="H2" s="2" t="s">
        <v>18</v>
      </c>
      <c r="I2" s="2" t="s">
        <v>348</v>
      </c>
    </row>
    <row r="3" spans="1:9" ht="75" x14ac:dyDescent="0.25">
      <c r="A3" s="2" t="s">
        <v>114</v>
      </c>
      <c r="B3" s="2" t="s">
        <v>172</v>
      </c>
      <c r="C3" s="3" t="s">
        <v>349</v>
      </c>
      <c r="D3" s="2" t="s">
        <v>350</v>
      </c>
      <c r="E3" s="2" t="s">
        <v>175</v>
      </c>
      <c r="F3" s="2" t="s">
        <v>37</v>
      </c>
      <c r="G3" s="2" t="s">
        <v>351</v>
      </c>
      <c r="H3" s="4" t="s">
        <v>352</v>
      </c>
      <c r="I3" s="4"/>
    </row>
    <row r="4" spans="1:9" ht="60" x14ac:dyDescent="0.25">
      <c r="A4" s="2" t="s">
        <v>114</v>
      </c>
      <c r="B4" s="2" t="s">
        <v>164</v>
      </c>
      <c r="C4" s="3" t="s">
        <v>353</v>
      </c>
      <c r="D4" s="2" t="s">
        <v>354</v>
      </c>
      <c r="E4" s="2" t="s">
        <v>51</v>
      </c>
      <c r="F4" s="2" t="s">
        <v>125</v>
      </c>
      <c r="G4" s="2" t="s">
        <v>355</v>
      </c>
      <c r="H4" s="4" t="s">
        <v>352</v>
      </c>
      <c r="I4" s="4"/>
    </row>
    <row r="5" spans="1:9" ht="120" x14ac:dyDescent="0.25">
      <c r="A5" s="2" t="s">
        <v>356</v>
      </c>
      <c r="B5" s="2" t="s">
        <v>357</v>
      </c>
      <c r="C5" s="3" t="s">
        <v>358</v>
      </c>
      <c r="D5" s="2" t="s">
        <v>359</v>
      </c>
      <c r="E5" s="2" t="s">
        <v>360</v>
      </c>
      <c r="F5" s="2" t="s">
        <v>16</v>
      </c>
      <c r="G5" s="2" t="s">
        <v>361</v>
      </c>
      <c r="H5" s="4" t="s">
        <v>352</v>
      </c>
      <c r="I5" s="4"/>
    </row>
    <row r="6" spans="1:9" ht="195" x14ac:dyDescent="0.25">
      <c r="A6" s="2" t="s">
        <v>356</v>
      </c>
      <c r="B6" s="2" t="s">
        <v>357</v>
      </c>
      <c r="C6" s="3" t="s">
        <v>362</v>
      </c>
      <c r="D6" s="2" t="s">
        <v>363</v>
      </c>
      <c r="E6" s="2" t="s">
        <v>360</v>
      </c>
      <c r="F6" s="2" t="s">
        <v>16</v>
      </c>
      <c r="G6" s="2" t="s">
        <v>361</v>
      </c>
      <c r="H6" s="4" t="s">
        <v>352</v>
      </c>
      <c r="I6" s="4" t="s">
        <v>364</v>
      </c>
    </row>
    <row r="7" spans="1:9" ht="105" x14ac:dyDescent="0.25">
      <c r="A7" s="2" t="s">
        <v>356</v>
      </c>
      <c r="B7" s="2" t="s">
        <v>52</v>
      </c>
      <c r="C7" s="3" t="s">
        <v>86</v>
      </c>
      <c r="D7" s="2" t="s">
        <v>365</v>
      </c>
      <c r="E7" s="2" t="s">
        <v>360</v>
      </c>
      <c r="F7" s="2" t="s">
        <v>16</v>
      </c>
      <c r="G7" s="2" t="s">
        <v>366</v>
      </c>
      <c r="H7" s="4" t="s">
        <v>352</v>
      </c>
      <c r="I7" s="4" t="s">
        <v>367</v>
      </c>
    </row>
    <row r="8" spans="1:9" ht="120" x14ac:dyDescent="0.25">
      <c r="A8" s="2" t="s">
        <v>356</v>
      </c>
      <c r="B8" s="2" t="s">
        <v>368</v>
      </c>
      <c r="C8" s="3" t="s">
        <v>369</v>
      </c>
      <c r="D8" s="2" t="s">
        <v>370</v>
      </c>
      <c r="E8" s="2" t="s">
        <v>24</v>
      </c>
      <c r="F8" s="2" t="s">
        <v>16</v>
      </c>
      <c r="G8" s="2" t="s">
        <v>361</v>
      </c>
      <c r="H8" s="4" t="s">
        <v>352</v>
      </c>
      <c r="I8" s="4"/>
    </row>
    <row r="9" spans="1:9" ht="120" x14ac:dyDescent="0.25">
      <c r="A9" s="2" t="s">
        <v>356</v>
      </c>
      <c r="B9" s="2" t="s">
        <v>48</v>
      </c>
      <c r="C9" s="3" t="s">
        <v>371</v>
      </c>
      <c r="D9" s="2" t="s">
        <v>372</v>
      </c>
      <c r="E9" s="2" t="s">
        <v>360</v>
      </c>
      <c r="F9" s="2" t="s">
        <v>16</v>
      </c>
      <c r="G9" s="4" t="s">
        <v>361</v>
      </c>
      <c r="H9" s="4" t="s">
        <v>352</v>
      </c>
      <c r="I9" s="4"/>
    </row>
    <row r="10" spans="1:9" ht="120" x14ac:dyDescent="0.25">
      <c r="A10" s="2" t="s">
        <v>356</v>
      </c>
      <c r="B10" s="2" t="s">
        <v>373</v>
      </c>
      <c r="C10" s="3" t="s">
        <v>374</v>
      </c>
      <c r="D10" s="2" t="s">
        <v>375</v>
      </c>
      <c r="E10" s="2" t="s">
        <v>360</v>
      </c>
      <c r="F10" s="2" t="s">
        <v>16</v>
      </c>
      <c r="G10" s="4" t="s">
        <v>361</v>
      </c>
      <c r="H10" s="4" t="s">
        <v>352</v>
      </c>
      <c r="I10" s="4"/>
    </row>
    <row r="11" spans="1:9" ht="120" x14ac:dyDescent="0.25">
      <c r="A11" s="2" t="s">
        <v>356</v>
      </c>
      <c r="B11" s="2" t="s">
        <v>373</v>
      </c>
      <c r="C11" s="3" t="s">
        <v>376</v>
      </c>
      <c r="D11" s="2" t="s">
        <v>377</v>
      </c>
      <c r="E11" s="2" t="s">
        <v>360</v>
      </c>
      <c r="F11" s="2" t="s">
        <v>16</v>
      </c>
      <c r="G11" s="4" t="s">
        <v>361</v>
      </c>
      <c r="H11" s="4" t="s">
        <v>352</v>
      </c>
      <c r="I11" s="4"/>
    </row>
    <row r="12" spans="1:9" ht="120" x14ac:dyDescent="0.25">
      <c r="A12" s="2" t="s">
        <v>356</v>
      </c>
      <c r="B12" s="2" t="s">
        <v>378</v>
      </c>
      <c r="C12" s="3" t="s">
        <v>379</v>
      </c>
      <c r="D12" s="2" t="s">
        <v>380</v>
      </c>
      <c r="E12" s="2" t="s">
        <v>360</v>
      </c>
      <c r="F12" s="2" t="s">
        <v>16</v>
      </c>
      <c r="G12" s="4" t="s">
        <v>361</v>
      </c>
      <c r="H12" s="4" t="s">
        <v>352</v>
      </c>
      <c r="I12" s="4"/>
    </row>
    <row r="13" spans="1:9" ht="90" x14ac:dyDescent="0.25">
      <c r="A13" s="2" t="s">
        <v>289</v>
      </c>
      <c r="B13" s="2" t="s">
        <v>381</v>
      </c>
      <c r="C13" s="3" t="s">
        <v>382</v>
      </c>
      <c r="D13" s="2" t="s">
        <v>383</v>
      </c>
      <c r="E13" s="2" t="s">
        <v>360</v>
      </c>
      <c r="F13" s="2" t="s">
        <v>37</v>
      </c>
      <c r="G13" s="2" t="s">
        <v>384</v>
      </c>
      <c r="H13" s="4" t="s">
        <v>352</v>
      </c>
      <c r="I13" s="2" t="s">
        <v>385</v>
      </c>
    </row>
    <row r="14" spans="1:9" ht="195" x14ac:dyDescent="0.25">
      <c r="A14" s="2" t="s">
        <v>356</v>
      </c>
      <c r="B14" s="2" t="s">
        <v>368</v>
      </c>
      <c r="C14" s="3" t="s">
        <v>386</v>
      </c>
      <c r="D14" s="2" t="s">
        <v>387</v>
      </c>
      <c r="E14" s="2" t="s">
        <v>360</v>
      </c>
      <c r="F14" s="2" t="s">
        <v>16</v>
      </c>
      <c r="G14" s="2" t="s">
        <v>388</v>
      </c>
      <c r="H14" s="4" t="s">
        <v>352</v>
      </c>
      <c r="I14" s="4" t="s">
        <v>389</v>
      </c>
    </row>
    <row r="15" spans="1:9" ht="75" x14ac:dyDescent="0.25">
      <c r="A15" s="2" t="s">
        <v>356</v>
      </c>
      <c r="B15" s="2" t="s">
        <v>61</v>
      </c>
      <c r="C15" s="3" t="s">
        <v>390</v>
      </c>
      <c r="D15" s="2" t="s">
        <v>391</v>
      </c>
      <c r="E15" s="2" t="s">
        <v>360</v>
      </c>
      <c r="F15" s="2" t="s">
        <v>16</v>
      </c>
      <c r="H15" s="4" t="s">
        <v>352</v>
      </c>
      <c r="I15" s="4" t="s">
        <v>389</v>
      </c>
    </row>
    <row r="16" spans="1:9" ht="105" x14ac:dyDescent="0.25">
      <c r="A16" s="2" t="s">
        <v>356</v>
      </c>
      <c r="B16" s="2" t="s">
        <v>61</v>
      </c>
      <c r="C16" s="3" t="s">
        <v>392</v>
      </c>
      <c r="D16" s="2" t="s">
        <v>393</v>
      </c>
      <c r="E16" s="2" t="s">
        <v>360</v>
      </c>
      <c r="F16" s="2" t="s">
        <v>16</v>
      </c>
      <c r="G16" s="2" t="s">
        <v>394</v>
      </c>
      <c r="H16" s="4" t="s">
        <v>352</v>
      </c>
      <c r="I16" s="4" t="s">
        <v>389</v>
      </c>
    </row>
    <row r="17" spans="1:10" ht="195" x14ac:dyDescent="0.25">
      <c r="A17" s="2" t="s">
        <v>356</v>
      </c>
      <c r="B17" s="2" t="s">
        <v>378</v>
      </c>
      <c r="C17" s="3" t="s">
        <v>395</v>
      </c>
      <c r="D17" s="2" t="s">
        <v>396</v>
      </c>
      <c r="E17" s="2" t="s">
        <v>360</v>
      </c>
      <c r="F17" s="2" t="s">
        <v>16</v>
      </c>
      <c r="G17" s="2" t="s">
        <v>388</v>
      </c>
      <c r="H17" s="4" t="s">
        <v>352</v>
      </c>
      <c r="I17" s="4" t="s">
        <v>389</v>
      </c>
    </row>
    <row r="18" spans="1:10" ht="195" x14ac:dyDescent="0.25">
      <c r="A18" s="2" t="s">
        <v>356</v>
      </c>
      <c r="B18" s="2" t="s">
        <v>378</v>
      </c>
      <c r="C18" s="3" t="s">
        <v>397</v>
      </c>
      <c r="D18" s="2" t="s">
        <v>398</v>
      </c>
      <c r="E18" s="2" t="s">
        <v>360</v>
      </c>
      <c r="F18" s="2" t="s">
        <v>16</v>
      </c>
      <c r="G18" s="2" t="s">
        <v>388</v>
      </c>
      <c r="H18" s="4" t="s">
        <v>352</v>
      </c>
      <c r="I18" s="4" t="s">
        <v>389</v>
      </c>
    </row>
    <row r="19" spans="1:10" ht="60" x14ac:dyDescent="0.25">
      <c r="A19" s="2" t="s">
        <v>114</v>
      </c>
      <c r="B19" s="2" t="s">
        <v>115</v>
      </c>
      <c r="C19" s="3" t="s">
        <v>399</v>
      </c>
      <c r="D19" s="2" t="s">
        <v>400</v>
      </c>
      <c r="E19" s="2" t="s">
        <v>360</v>
      </c>
      <c r="F19" s="2" t="s">
        <v>16</v>
      </c>
      <c r="G19" s="2" t="s">
        <v>401</v>
      </c>
    </row>
    <row r="20" spans="1:10" ht="45" x14ac:dyDescent="0.25">
      <c r="A20" s="2" t="s">
        <v>356</v>
      </c>
      <c r="B20" s="2" t="s">
        <v>373</v>
      </c>
      <c r="C20" s="3" t="s">
        <v>402</v>
      </c>
      <c r="D20" s="2" t="s">
        <v>403</v>
      </c>
      <c r="E20" s="2" t="s">
        <v>360</v>
      </c>
      <c r="F20" s="2" t="s">
        <v>37</v>
      </c>
      <c r="G20" s="2" t="s">
        <v>404</v>
      </c>
    </row>
    <row r="21" spans="1:10" ht="165" x14ac:dyDescent="0.25">
      <c r="A21" s="2" t="s">
        <v>114</v>
      </c>
      <c r="B21" s="2" t="s">
        <v>172</v>
      </c>
      <c r="C21" s="3" t="s">
        <v>405</v>
      </c>
      <c r="D21" s="2" t="s">
        <v>406</v>
      </c>
      <c r="E21" s="2" t="s">
        <v>175</v>
      </c>
      <c r="F21" s="2" t="s">
        <v>37</v>
      </c>
      <c r="G21" s="2" t="s">
        <v>21</v>
      </c>
      <c r="H21" s="2" t="s">
        <v>351</v>
      </c>
      <c r="I21" s="4" t="s">
        <v>407</v>
      </c>
      <c r="J21" s="4" t="s">
        <v>408</v>
      </c>
    </row>
    <row r="22" spans="1:10" ht="75" x14ac:dyDescent="0.25">
      <c r="A22" s="2" t="s">
        <v>114</v>
      </c>
      <c r="B22" s="2" t="s">
        <v>164</v>
      </c>
      <c r="C22" s="3" t="s">
        <v>409</v>
      </c>
      <c r="D22" s="2" t="s">
        <v>410</v>
      </c>
      <c r="E22" s="2" t="s">
        <v>411</v>
      </c>
      <c r="F22" s="2" t="s">
        <v>167</v>
      </c>
      <c r="G22" s="2" t="s">
        <v>18</v>
      </c>
    </row>
    <row r="23" spans="1:10" ht="60" x14ac:dyDescent="0.25">
      <c r="A23" s="2" t="s">
        <v>114</v>
      </c>
      <c r="B23" s="2" t="s">
        <v>164</v>
      </c>
      <c r="C23" s="3" t="s">
        <v>412</v>
      </c>
      <c r="D23" s="2" t="s">
        <v>413</v>
      </c>
      <c r="E23" s="2" t="s">
        <v>51</v>
      </c>
      <c r="F23" s="2" t="s">
        <v>167</v>
      </c>
      <c r="G23" s="2" t="s">
        <v>21</v>
      </c>
    </row>
    <row r="24" spans="1:10" ht="135" x14ac:dyDescent="0.25">
      <c r="A24" s="2" t="s">
        <v>114</v>
      </c>
      <c r="B24" s="2" t="s">
        <v>414</v>
      </c>
      <c r="C24" s="3" t="s">
        <v>415</v>
      </c>
      <c r="D24" s="2" t="s">
        <v>416</v>
      </c>
      <c r="E24" s="2" t="s">
        <v>175</v>
      </c>
      <c r="F24" s="2" t="s">
        <v>16</v>
      </c>
      <c r="G24" s="2" t="s">
        <v>18</v>
      </c>
      <c r="H24" s="2" t="s">
        <v>351</v>
      </c>
      <c r="I24" s="4" t="s">
        <v>417</v>
      </c>
      <c r="J24" s="4" t="s">
        <v>418</v>
      </c>
    </row>
    <row r="25" spans="1:10" ht="60" x14ac:dyDescent="0.25">
      <c r="A25" s="2" t="s">
        <v>41</v>
      </c>
      <c r="B25" s="2" t="s">
        <v>357</v>
      </c>
      <c r="C25" s="3" t="s">
        <v>419</v>
      </c>
      <c r="D25" s="2" t="s">
        <v>420</v>
      </c>
      <c r="E25" s="2" t="s">
        <v>360</v>
      </c>
      <c r="F25" s="2" t="s">
        <v>16</v>
      </c>
      <c r="G25" s="2" t="s">
        <v>18</v>
      </c>
    </row>
    <row r="26" spans="1:10" ht="60" x14ac:dyDescent="0.25">
      <c r="A26" s="2" t="s">
        <v>41</v>
      </c>
      <c r="B26" s="2" t="s">
        <v>421</v>
      </c>
      <c r="C26" s="3" t="s">
        <v>422</v>
      </c>
      <c r="D26" s="2" t="s">
        <v>423</v>
      </c>
      <c r="E26" s="2" t="s">
        <v>24</v>
      </c>
      <c r="F26" s="2" t="s">
        <v>16</v>
      </c>
      <c r="G26" s="2" t="s">
        <v>45</v>
      </c>
      <c r="H26" s="4" t="s">
        <v>424</v>
      </c>
      <c r="I26" s="4"/>
      <c r="J26" s="4"/>
    </row>
    <row r="27" spans="1:10" ht="45" x14ac:dyDescent="0.25">
      <c r="A27" s="2" t="s">
        <v>187</v>
      </c>
      <c r="B27" s="2" t="s">
        <v>425</v>
      </c>
      <c r="C27" s="3" t="s">
        <v>426</v>
      </c>
      <c r="D27" s="2" t="s">
        <v>427</v>
      </c>
      <c r="E27" s="2" t="s">
        <v>250</v>
      </c>
      <c r="F27" s="2" t="s">
        <v>125</v>
      </c>
      <c r="G27" s="2" t="s">
        <v>18</v>
      </c>
    </row>
    <row r="28" spans="1:10" ht="45" x14ac:dyDescent="0.25">
      <c r="A28" s="2" t="s">
        <v>187</v>
      </c>
      <c r="B28" s="2" t="s">
        <v>425</v>
      </c>
      <c r="C28" s="3" t="s">
        <v>428</v>
      </c>
      <c r="D28" s="2" t="s">
        <v>429</v>
      </c>
      <c r="E28" s="2" t="s">
        <v>250</v>
      </c>
      <c r="F28" s="2" t="s">
        <v>125</v>
      </c>
      <c r="G28" s="2" t="s">
        <v>18</v>
      </c>
    </row>
    <row r="29" spans="1:10" ht="195" x14ac:dyDescent="0.25">
      <c r="A29" s="2" t="s">
        <v>289</v>
      </c>
      <c r="B29" s="2" t="s">
        <v>430</v>
      </c>
      <c r="C29" s="3" t="s">
        <v>431</v>
      </c>
      <c r="D29" s="2" t="s">
        <v>432</v>
      </c>
      <c r="E29" s="2" t="s">
        <v>24</v>
      </c>
      <c r="F29" s="2" t="s">
        <v>71</v>
      </c>
      <c r="G29" s="2" t="s">
        <v>45</v>
      </c>
      <c r="H29" s="2" t="s">
        <v>384</v>
      </c>
      <c r="I29" s="4" t="s">
        <v>433</v>
      </c>
      <c r="J29" s="2" t="s">
        <v>434</v>
      </c>
    </row>
    <row r="30" spans="1:10" ht="165" x14ac:dyDescent="0.25">
      <c r="A30" s="2" t="s">
        <v>289</v>
      </c>
      <c r="B30" s="2" t="s">
        <v>430</v>
      </c>
      <c r="C30" s="3" t="s">
        <v>435</v>
      </c>
      <c r="D30" s="2" t="s">
        <v>436</v>
      </c>
      <c r="E30" s="2" t="s">
        <v>24</v>
      </c>
      <c r="F30" s="2" t="s">
        <v>16</v>
      </c>
      <c r="G30" s="2" t="s">
        <v>18</v>
      </c>
      <c r="H30" s="2" t="s">
        <v>384</v>
      </c>
      <c r="I30" s="4" t="s">
        <v>437</v>
      </c>
      <c r="J30" s="2" t="s">
        <v>438</v>
      </c>
    </row>
    <row r="31" spans="1:10" ht="135" x14ac:dyDescent="0.25">
      <c r="A31" s="2" t="s">
        <v>289</v>
      </c>
      <c r="B31" s="2" t="s">
        <v>430</v>
      </c>
      <c r="C31" s="3" t="s">
        <v>439</v>
      </c>
      <c r="D31" s="2" t="s">
        <v>440</v>
      </c>
      <c r="E31" s="2" t="s">
        <v>24</v>
      </c>
      <c r="F31" s="2" t="s">
        <v>71</v>
      </c>
      <c r="G31" s="2" t="s">
        <v>18</v>
      </c>
      <c r="H31" s="2" t="s">
        <v>441</v>
      </c>
      <c r="I31" s="4" t="s">
        <v>442</v>
      </c>
      <c r="J31" s="2" t="s">
        <v>443</v>
      </c>
    </row>
    <row r="32" spans="1:10" ht="105" x14ac:dyDescent="0.25">
      <c r="A32" s="2" t="s">
        <v>289</v>
      </c>
      <c r="B32" s="2" t="s">
        <v>381</v>
      </c>
      <c r="C32" s="3" t="s">
        <v>444</v>
      </c>
      <c r="D32" s="2" t="s">
        <v>445</v>
      </c>
      <c r="E32" s="2" t="s">
        <v>360</v>
      </c>
      <c r="F32" s="2" t="s">
        <v>71</v>
      </c>
      <c r="G32" s="2" t="s">
        <v>18</v>
      </c>
      <c r="H32" s="2" t="s">
        <v>384</v>
      </c>
      <c r="I32" s="4" t="s">
        <v>446</v>
      </c>
      <c r="J32" s="2" t="s">
        <v>447</v>
      </c>
    </row>
    <row r="33" spans="1:12" ht="120" x14ac:dyDescent="0.25">
      <c r="A33" s="2" t="s">
        <v>289</v>
      </c>
      <c r="B33" s="2" t="s">
        <v>381</v>
      </c>
      <c r="C33" s="3" t="s">
        <v>448</v>
      </c>
      <c r="D33" s="2" t="s">
        <v>449</v>
      </c>
      <c r="E33" s="2" t="s">
        <v>360</v>
      </c>
      <c r="F33" s="2" t="s">
        <v>71</v>
      </c>
      <c r="G33" s="2" t="s">
        <v>18</v>
      </c>
      <c r="H33" s="2" t="s">
        <v>384</v>
      </c>
      <c r="I33" s="4" t="s">
        <v>450</v>
      </c>
      <c r="J33" s="2" t="s">
        <v>451</v>
      </c>
    </row>
    <row r="34" spans="1:12" ht="105" x14ac:dyDescent="0.25">
      <c r="A34" s="2" t="s">
        <v>289</v>
      </c>
      <c r="B34" s="2" t="s">
        <v>302</v>
      </c>
      <c r="C34" s="3" t="s">
        <v>452</v>
      </c>
      <c r="D34" s="2" t="s">
        <v>453</v>
      </c>
      <c r="E34" s="2" t="s">
        <v>360</v>
      </c>
      <c r="F34" s="2" t="s">
        <v>37</v>
      </c>
      <c r="G34" s="2" t="s">
        <v>18</v>
      </c>
      <c r="H34" s="2" t="s">
        <v>384</v>
      </c>
      <c r="I34" s="4" t="s">
        <v>454</v>
      </c>
      <c r="J34" s="2" t="s">
        <v>455</v>
      </c>
    </row>
    <row r="35" spans="1:12" ht="90" x14ac:dyDescent="0.25">
      <c r="A35" s="2" t="s">
        <v>289</v>
      </c>
      <c r="B35" s="2" t="s">
        <v>302</v>
      </c>
      <c r="C35" s="3" t="s">
        <v>456</v>
      </c>
      <c r="D35" s="2" t="s">
        <v>457</v>
      </c>
      <c r="E35" s="2" t="s">
        <v>360</v>
      </c>
      <c r="F35" s="2" t="s">
        <v>125</v>
      </c>
      <c r="G35" s="2" t="s">
        <v>18</v>
      </c>
      <c r="H35" s="2" t="s">
        <v>384</v>
      </c>
      <c r="I35" s="4" t="s">
        <v>458</v>
      </c>
      <c r="J35" s="2" t="s">
        <v>459</v>
      </c>
    </row>
    <row r="36" spans="1:12" ht="120" x14ac:dyDescent="0.25">
      <c r="A36" s="2" t="s">
        <v>289</v>
      </c>
      <c r="B36" s="2" t="s">
        <v>460</v>
      </c>
      <c r="C36" s="3" t="s">
        <v>461</v>
      </c>
      <c r="D36" s="2" t="s">
        <v>462</v>
      </c>
      <c r="E36" s="2" t="s">
        <v>463</v>
      </c>
      <c r="F36" s="2" t="s">
        <v>37</v>
      </c>
      <c r="G36" s="2" t="s">
        <v>45</v>
      </c>
      <c r="H36" s="2" t="s">
        <v>464</v>
      </c>
      <c r="I36" s="4" t="s">
        <v>465</v>
      </c>
      <c r="J36" s="2" t="s">
        <v>466</v>
      </c>
    </row>
    <row r="37" spans="1:12" ht="45" x14ac:dyDescent="0.25">
      <c r="A37" s="2" t="s">
        <v>289</v>
      </c>
      <c r="B37" s="2" t="s">
        <v>460</v>
      </c>
      <c r="C37" s="3" t="s">
        <v>467</v>
      </c>
      <c r="D37" s="2" t="s">
        <v>468</v>
      </c>
      <c r="E37" s="2" t="s">
        <v>469</v>
      </c>
      <c r="F37" s="2" t="s">
        <v>125</v>
      </c>
      <c r="G37" s="2" t="s">
        <v>45</v>
      </c>
    </row>
    <row r="38" spans="1:12" ht="45" x14ac:dyDescent="0.25">
      <c r="A38" s="2" t="s">
        <v>289</v>
      </c>
      <c r="B38" s="2" t="s">
        <v>460</v>
      </c>
      <c r="C38" s="3" t="s">
        <v>470</v>
      </c>
      <c r="D38" s="2" t="s">
        <v>471</v>
      </c>
      <c r="E38" s="2" t="s">
        <v>472</v>
      </c>
      <c r="F38" s="2" t="s">
        <v>125</v>
      </c>
      <c r="G38" s="2" t="s">
        <v>18</v>
      </c>
    </row>
    <row r="39" spans="1:12" ht="60" x14ac:dyDescent="0.25">
      <c r="A39" s="2" t="s">
        <v>289</v>
      </c>
      <c r="B39" s="2" t="s">
        <v>317</v>
      </c>
      <c r="C39" s="3" t="s">
        <v>473</v>
      </c>
      <c r="D39" s="2" t="s">
        <v>474</v>
      </c>
      <c r="E39" s="2" t="s">
        <v>475</v>
      </c>
      <c r="F39" s="2" t="s">
        <v>125</v>
      </c>
      <c r="G39" s="2" t="s">
        <v>18</v>
      </c>
    </row>
    <row r="40" spans="1:12" ht="90" x14ac:dyDescent="0.25">
      <c r="A40" s="2" t="s">
        <v>289</v>
      </c>
      <c r="B40" s="2" t="s">
        <v>290</v>
      </c>
      <c r="C40" s="3" t="s">
        <v>476</v>
      </c>
      <c r="D40" s="2" t="s">
        <v>477</v>
      </c>
      <c r="E40" s="2" t="s">
        <v>360</v>
      </c>
      <c r="F40" s="2" t="s">
        <v>71</v>
      </c>
      <c r="G40" s="2" t="s">
        <v>18</v>
      </c>
      <c r="H40" s="2" t="s">
        <v>384</v>
      </c>
      <c r="I40" s="4" t="s">
        <v>478</v>
      </c>
      <c r="J40" s="2" t="s">
        <v>479</v>
      </c>
    </row>
    <row r="41" spans="1:12" ht="60" x14ac:dyDescent="0.25">
      <c r="A41" s="2" t="s">
        <v>289</v>
      </c>
      <c r="B41" s="2" t="s">
        <v>290</v>
      </c>
      <c r="C41" s="3" t="s">
        <v>480</v>
      </c>
      <c r="D41" s="2" t="s">
        <v>481</v>
      </c>
      <c r="E41" s="2" t="s">
        <v>360</v>
      </c>
      <c r="F41" s="2" t="s">
        <v>37</v>
      </c>
      <c r="G41" s="2" t="s">
        <v>18</v>
      </c>
    </row>
    <row r="42" spans="1:12" ht="60" x14ac:dyDescent="0.25">
      <c r="A42" s="2" t="s">
        <v>289</v>
      </c>
      <c r="B42" s="2" t="s">
        <v>482</v>
      </c>
      <c r="C42" s="3" t="s">
        <v>483</v>
      </c>
      <c r="D42" s="2" t="s">
        <v>484</v>
      </c>
      <c r="E42" s="2" t="s">
        <v>360</v>
      </c>
      <c r="F42" s="2" t="s">
        <v>37</v>
      </c>
      <c r="G42" s="2" t="s">
        <v>18</v>
      </c>
    </row>
    <row r="43" spans="1:12" ht="45" x14ac:dyDescent="0.25">
      <c r="A43" s="2" t="s">
        <v>289</v>
      </c>
      <c r="B43" s="2" t="s">
        <v>482</v>
      </c>
      <c r="C43" s="3" t="s">
        <v>485</v>
      </c>
      <c r="D43" s="2" t="s">
        <v>486</v>
      </c>
      <c r="E43" s="2" t="s">
        <v>472</v>
      </c>
      <c r="F43" s="2" t="s">
        <v>125</v>
      </c>
      <c r="G43" s="2" t="s">
        <v>45</v>
      </c>
    </row>
    <row r="44" spans="1:12" ht="45" x14ac:dyDescent="0.25">
      <c r="A44" s="2" t="s">
        <v>289</v>
      </c>
      <c r="B44" s="2" t="s">
        <v>482</v>
      </c>
      <c r="C44" s="3" t="s">
        <v>487</v>
      </c>
      <c r="D44" s="2" t="s">
        <v>488</v>
      </c>
      <c r="E44" s="2" t="s">
        <v>472</v>
      </c>
      <c r="F44" s="2" t="s">
        <v>125</v>
      </c>
      <c r="G44" s="2" t="s">
        <v>18</v>
      </c>
    </row>
    <row r="45" spans="1:12" ht="60.75" thickBot="1" x14ac:dyDescent="0.3">
      <c r="A45" s="2" t="s">
        <v>289</v>
      </c>
      <c r="B45" s="2" t="s">
        <v>482</v>
      </c>
      <c r="C45" s="3" t="s">
        <v>489</v>
      </c>
      <c r="D45" s="2" t="s">
        <v>490</v>
      </c>
      <c r="E45" s="2" t="s">
        <v>360</v>
      </c>
      <c r="F45" s="2" t="s">
        <v>125</v>
      </c>
      <c r="G45" s="2" t="s">
        <v>18</v>
      </c>
    </row>
    <row r="46" spans="1:12" ht="186" thickBot="1" x14ac:dyDescent="0.3">
      <c r="A46" s="10" t="s">
        <v>114</v>
      </c>
      <c r="B46" s="10" t="s">
        <v>115</v>
      </c>
      <c r="C46" s="10" t="s">
        <v>126</v>
      </c>
      <c r="D46" s="17" t="s">
        <v>127</v>
      </c>
      <c r="E46" s="10" t="s">
        <v>105</v>
      </c>
      <c r="F46" s="10" t="s">
        <v>16</v>
      </c>
      <c r="G46" s="10" t="s">
        <v>17</v>
      </c>
      <c r="H46" s="10" t="s">
        <v>18</v>
      </c>
      <c r="I46" s="10"/>
      <c r="J46" s="10" t="s">
        <v>704</v>
      </c>
      <c r="K46" s="10"/>
      <c r="L46" s="10"/>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11</v>
      </c>
      <c r="B2" s="2" t="s">
        <v>12</v>
      </c>
      <c r="C2" s="3" t="s">
        <v>491</v>
      </c>
      <c r="D2" s="2" t="s">
        <v>492</v>
      </c>
      <c r="E2" s="2" t="s">
        <v>15</v>
      </c>
      <c r="F2" s="2" t="s">
        <v>16</v>
      </c>
      <c r="G2" s="2" t="s">
        <v>17</v>
      </c>
      <c r="H2" s="2" t="s">
        <v>21</v>
      </c>
    </row>
    <row r="3" spans="1:8" ht="45" x14ac:dyDescent="0.25">
      <c r="A3" s="2" t="s">
        <v>11</v>
      </c>
      <c r="B3" s="2" t="s">
        <v>12</v>
      </c>
      <c r="C3" s="3" t="s">
        <v>493</v>
      </c>
      <c r="D3" s="2" t="s">
        <v>494</v>
      </c>
      <c r="E3" s="2" t="s">
        <v>15</v>
      </c>
      <c r="F3" s="2" t="s">
        <v>16</v>
      </c>
      <c r="G3" s="2" t="s">
        <v>17</v>
      </c>
      <c r="H3" s="2" t="s">
        <v>21</v>
      </c>
    </row>
    <row r="4" spans="1:8" ht="30" x14ac:dyDescent="0.25">
      <c r="A4" s="2" t="s">
        <v>11</v>
      </c>
      <c r="B4" s="2" t="s">
        <v>12</v>
      </c>
      <c r="C4" s="3" t="s">
        <v>495</v>
      </c>
      <c r="D4" s="2" t="s">
        <v>496</v>
      </c>
      <c r="E4" s="2" t="s">
        <v>15</v>
      </c>
      <c r="F4" s="2" t="s">
        <v>16</v>
      </c>
      <c r="G4" s="2" t="s">
        <v>17</v>
      </c>
      <c r="H4" s="2" t="s">
        <v>21</v>
      </c>
    </row>
    <row r="5" spans="1:8" ht="45" x14ac:dyDescent="0.25">
      <c r="A5" s="2" t="s">
        <v>11</v>
      </c>
      <c r="B5" s="2" t="s">
        <v>12</v>
      </c>
      <c r="C5" s="3" t="s">
        <v>19</v>
      </c>
      <c r="D5" s="2" t="s">
        <v>497</v>
      </c>
      <c r="E5" s="2" t="s">
        <v>15</v>
      </c>
      <c r="F5" s="2" t="s">
        <v>16</v>
      </c>
      <c r="G5" s="2" t="s">
        <v>17</v>
      </c>
      <c r="H5" s="2" t="s">
        <v>21</v>
      </c>
    </row>
    <row r="6" spans="1:8" ht="45" x14ac:dyDescent="0.25">
      <c r="A6" s="2" t="s">
        <v>11</v>
      </c>
      <c r="B6" s="2" t="s">
        <v>12</v>
      </c>
      <c r="C6" s="3" t="s">
        <v>22</v>
      </c>
      <c r="D6" s="2" t="s">
        <v>498</v>
      </c>
      <c r="E6" s="2" t="s">
        <v>24</v>
      </c>
      <c r="F6" s="2" t="s">
        <v>16</v>
      </c>
      <c r="G6" s="2" t="s">
        <v>17</v>
      </c>
      <c r="H6" s="2" t="s">
        <v>18</v>
      </c>
    </row>
    <row r="7" spans="1:8" ht="45" x14ac:dyDescent="0.25">
      <c r="A7" s="2" t="s">
        <v>11</v>
      </c>
      <c r="B7" s="2" t="s">
        <v>30</v>
      </c>
      <c r="C7" s="3" t="s">
        <v>35</v>
      </c>
      <c r="D7" s="2" t="s">
        <v>499</v>
      </c>
      <c r="E7" s="2" t="s">
        <v>15</v>
      </c>
      <c r="F7" s="2" t="s">
        <v>37</v>
      </c>
      <c r="G7" s="2" t="s">
        <v>17</v>
      </c>
      <c r="H7" s="2" t="s">
        <v>18</v>
      </c>
    </row>
    <row r="8" spans="1:8" ht="45" x14ac:dyDescent="0.25">
      <c r="A8" s="2" t="s">
        <v>11</v>
      </c>
      <c r="B8" s="2" t="s">
        <v>30</v>
      </c>
      <c r="C8" s="3" t="s">
        <v>500</v>
      </c>
      <c r="D8" s="2" t="s">
        <v>501</v>
      </c>
      <c r="E8" s="2" t="s">
        <v>15</v>
      </c>
      <c r="F8" s="2" t="s">
        <v>16</v>
      </c>
      <c r="G8" s="2" t="s">
        <v>17</v>
      </c>
      <c r="H8" s="2" t="s">
        <v>18</v>
      </c>
    </row>
    <row r="9" spans="1:8" ht="45" x14ac:dyDescent="0.25">
      <c r="A9" s="2" t="s">
        <v>11</v>
      </c>
      <c r="B9" s="2" t="s">
        <v>25</v>
      </c>
      <c r="C9" s="3" t="s">
        <v>26</v>
      </c>
      <c r="D9" s="2" t="s">
        <v>502</v>
      </c>
      <c r="E9" s="2" t="s">
        <v>15</v>
      </c>
      <c r="F9" s="2" t="s">
        <v>16</v>
      </c>
      <c r="G9" s="2" t="s">
        <v>17</v>
      </c>
      <c r="H9" s="2" t="s">
        <v>21</v>
      </c>
    </row>
    <row r="10" spans="1:8" ht="30" x14ac:dyDescent="0.25">
      <c r="A10" s="2" t="s">
        <v>11</v>
      </c>
      <c r="B10" s="2" t="s">
        <v>25</v>
      </c>
      <c r="C10" s="3" t="s">
        <v>28</v>
      </c>
      <c r="D10" s="2" t="s">
        <v>503</v>
      </c>
      <c r="E10" s="2" t="s">
        <v>15</v>
      </c>
      <c r="F10" s="2" t="s">
        <v>16</v>
      </c>
      <c r="G10" s="2" t="s">
        <v>17</v>
      </c>
      <c r="H10" s="2" t="s">
        <v>18</v>
      </c>
    </row>
    <row r="11" spans="1:8" ht="45" x14ac:dyDescent="0.25">
      <c r="A11" s="2" t="s">
        <v>41</v>
      </c>
      <c r="B11" s="2" t="s">
        <v>42</v>
      </c>
      <c r="C11" s="3" t="s">
        <v>504</v>
      </c>
      <c r="D11" s="2" t="s">
        <v>505</v>
      </c>
      <c r="E11" s="2" t="s">
        <v>15</v>
      </c>
      <c r="F11" s="2" t="s">
        <v>16</v>
      </c>
      <c r="G11" s="2" t="s">
        <v>17</v>
      </c>
      <c r="H11" s="2" t="s">
        <v>18</v>
      </c>
    </row>
    <row r="12" spans="1:8" ht="30" x14ac:dyDescent="0.25">
      <c r="A12" s="2" t="s">
        <v>41</v>
      </c>
      <c r="B12" s="2" t="s">
        <v>42</v>
      </c>
      <c r="C12" s="3" t="s">
        <v>506</v>
      </c>
      <c r="D12" s="2" t="s">
        <v>507</v>
      </c>
      <c r="E12" s="2" t="s">
        <v>15</v>
      </c>
      <c r="F12" s="2" t="s">
        <v>16</v>
      </c>
      <c r="G12" s="2" t="s">
        <v>17</v>
      </c>
      <c r="H12" s="2" t="s">
        <v>18</v>
      </c>
    </row>
    <row r="13" spans="1:8" ht="45" x14ac:dyDescent="0.25">
      <c r="A13" s="2" t="s">
        <v>41</v>
      </c>
      <c r="B13" s="2" t="s">
        <v>48</v>
      </c>
      <c r="C13" s="3" t="s">
        <v>49</v>
      </c>
      <c r="D13" s="2" t="s">
        <v>508</v>
      </c>
      <c r="E13" s="2" t="s">
        <v>51</v>
      </c>
      <c r="F13" s="2" t="s">
        <v>16</v>
      </c>
      <c r="G13" s="2" t="s">
        <v>17</v>
      </c>
      <c r="H13" s="2" t="s">
        <v>21</v>
      </c>
    </row>
    <row r="14" spans="1:8" ht="45" x14ac:dyDescent="0.25">
      <c r="A14" s="2" t="s">
        <v>41</v>
      </c>
      <c r="B14" s="2" t="s">
        <v>52</v>
      </c>
      <c r="C14" s="3" t="s">
        <v>509</v>
      </c>
      <c r="D14" s="2" t="s">
        <v>510</v>
      </c>
      <c r="E14" s="2" t="s">
        <v>15</v>
      </c>
      <c r="F14" s="2" t="s">
        <v>16</v>
      </c>
      <c r="G14" s="2" t="s">
        <v>17</v>
      </c>
      <c r="H14" s="2" t="s">
        <v>18</v>
      </c>
    </row>
    <row r="15" spans="1:8" ht="45" x14ac:dyDescent="0.25">
      <c r="A15" s="2" t="s">
        <v>41</v>
      </c>
      <c r="B15" s="2" t="s">
        <v>52</v>
      </c>
      <c r="C15" s="3" t="s">
        <v>57</v>
      </c>
      <c r="D15" s="2" t="s">
        <v>511</v>
      </c>
      <c r="E15" s="2" t="s">
        <v>15</v>
      </c>
      <c r="F15" s="2" t="s">
        <v>16</v>
      </c>
      <c r="G15" s="2" t="s">
        <v>17</v>
      </c>
      <c r="H15" s="2" t="s">
        <v>21</v>
      </c>
    </row>
    <row r="16" spans="1:8" ht="45" x14ac:dyDescent="0.25">
      <c r="A16" s="2" t="s">
        <v>41</v>
      </c>
      <c r="B16" s="2" t="s">
        <v>30</v>
      </c>
      <c r="C16" s="3" t="s">
        <v>66</v>
      </c>
      <c r="D16" s="2" t="s">
        <v>512</v>
      </c>
      <c r="E16" s="2" t="s">
        <v>15</v>
      </c>
      <c r="F16" s="2" t="s">
        <v>16</v>
      </c>
      <c r="G16" s="2" t="s">
        <v>17</v>
      </c>
      <c r="H16" s="2" t="s">
        <v>21</v>
      </c>
    </row>
    <row r="17" spans="1:8" ht="45" x14ac:dyDescent="0.25">
      <c r="A17" s="2" t="s">
        <v>41</v>
      </c>
      <c r="B17" s="2" t="s">
        <v>48</v>
      </c>
      <c r="C17" s="3" t="s">
        <v>59</v>
      </c>
      <c r="D17" s="2" t="s">
        <v>513</v>
      </c>
      <c r="E17" s="2" t="s">
        <v>51</v>
      </c>
      <c r="F17" s="2" t="s">
        <v>16</v>
      </c>
      <c r="G17" s="2" t="s">
        <v>17</v>
      </c>
      <c r="H17" s="2" t="s">
        <v>21</v>
      </c>
    </row>
    <row r="18" spans="1:8" ht="45" x14ac:dyDescent="0.25">
      <c r="A18" s="2" t="s">
        <v>41</v>
      </c>
      <c r="B18" s="2" t="s">
        <v>61</v>
      </c>
      <c r="C18" s="3" t="s">
        <v>514</v>
      </c>
      <c r="D18" s="2" t="s">
        <v>515</v>
      </c>
      <c r="E18" s="2" t="s">
        <v>15</v>
      </c>
      <c r="F18" s="2" t="s">
        <v>16</v>
      </c>
      <c r="G18" s="2" t="s">
        <v>17</v>
      </c>
      <c r="H18" s="2" t="s">
        <v>18</v>
      </c>
    </row>
    <row r="19" spans="1:8" ht="30" x14ac:dyDescent="0.25">
      <c r="A19" s="2" t="s">
        <v>41</v>
      </c>
      <c r="B19" s="2" t="s">
        <v>42</v>
      </c>
      <c r="C19" s="3" t="s">
        <v>46</v>
      </c>
      <c r="D19" s="2" t="s">
        <v>516</v>
      </c>
      <c r="E19" s="2" t="s">
        <v>15</v>
      </c>
      <c r="F19" s="2" t="s">
        <v>16</v>
      </c>
      <c r="G19" s="2" t="s">
        <v>17</v>
      </c>
      <c r="H19" s="2" t="s">
        <v>18</v>
      </c>
    </row>
    <row r="20" spans="1:8" ht="60" x14ac:dyDescent="0.25">
      <c r="A20" s="2" t="s">
        <v>97</v>
      </c>
      <c r="B20" s="2" t="s">
        <v>98</v>
      </c>
      <c r="C20" s="3" t="s">
        <v>517</v>
      </c>
      <c r="D20" s="2" t="s">
        <v>518</v>
      </c>
      <c r="E20" s="2" t="s">
        <v>519</v>
      </c>
      <c r="F20" s="2" t="s">
        <v>71</v>
      </c>
      <c r="G20" s="4" t="s">
        <v>520</v>
      </c>
      <c r="H20" s="2" t="s">
        <v>18</v>
      </c>
    </row>
    <row r="21" spans="1:8" ht="45" x14ac:dyDescent="0.25">
      <c r="A21" s="2" t="s">
        <v>97</v>
      </c>
      <c r="B21" s="2" t="s">
        <v>98</v>
      </c>
      <c r="C21" s="3" t="s">
        <v>521</v>
      </c>
      <c r="D21" s="2" t="s">
        <v>522</v>
      </c>
      <c r="E21" s="2" t="s">
        <v>519</v>
      </c>
      <c r="F21" s="2" t="s">
        <v>71</v>
      </c>
      <c r="G21" s="4" t="s">
        <v>523</v>
      </c>
      <c r="H21" s="2" t="s">
        <v>18</v>
      </c>
    </row>
    <row r="22" spans="1:8" ht="45" x14ac:dyDescent="0.25">
      <c r="A22" s="2" t="s">
        <v>97</v>
      </c>
      <c r="B22" s="2" t="s">
        <v>98</v>
      </c>
      <c r="C22" s="3" t="s">
        <v>524</v>
      </c>
      <c r="D22" s="2" t="s">
        <v>525</v>
      </c>
      <c r="E22" s="2" t="s">
        <v>24</v>
      </c>
      <c r="F22" s="2" t="s">
        <v>16</v>
      </c>
      <c r="G22" s="2" t="s">
        <v>17</v>
      </c>
      <c r="H22" s="2" t="s">
        <v>18</v>
      </c>
    </row>
    <row r="23" spans="1:8" ht="45" x14ac:dyDescent="0.25">
      <c r="A23" s="2" t="s">
        <v>97</v>
      </c>
      <c r="B23" s="2" t="s">
        <v>98</v>
      </c>
      <c r="C23" s="3" t="s">
        <v>526</v>
      </c>
      <c r="D23" s="2" t="s">
        <v>527</v>
      </c>
      <c r="E23" s="2" t="s">
        <v>105</v>
      </c>
      <c r="F23" s="2" t="s">
        <v>71</v>
      </c>
      <c r="G23" s="4" t="s">
        <v>106</v>
      </c>
      <c r="H23" s="2" t="s">
        <v>18</v>
      </c>
    </row>
    <row r="24" spans="1:8" ht="45" x14ac:dyDescent="0.25">
      <c r="A24" s="2" t="s">
        <v>97</v>
      </c>
      <c r="B24" s="2" t="s">
        <v>98</v>
      </c>
      <c r="C24" s="3" t="s">
        <v>528</v>
      </c>
      <c r="D24" s="2" t="s">
        <v>529</v>
      </c>
      <c r="E24" s="2" t="s">
        <v>105</v>
      </c>
      <c r="F24" s="2" t="s">
        <v>71</v>
      </c>
      <c r="G24" s="4" t="s">
        <v>530</v>
      </c>
      <c r="H24" s="2" t="s">
        <v>21</v>
      </c>
    </row>
    <row r="25" spans="1:8" ht="45" x14ac:dyDescent="0.25">
      <c r="A25" s="2" t="s">
        <v>97</v>
      </c>
      <c r="B25" s="2" t="s">
        <v>98</v>
      </c>
      <c r="C25" s="3" t="s">
        <v>111</v>
      </c>
      <c r="D25" s="2" t="s">
        <v>531</v>
      </c>
      <c r="E25" s="2" t="s">
        <v>85</v>
      </c>
      <c r="F25" s="2" t="s">
        <v>71</v>
      </c>
      <c r="G25" s="4" t="s">
        <v>113</v>
      </c>
      <c r="H25" s="2" t="s">
        <v>18</v>
      </c>
    </row>
    <row r="26" spans="1:8" ht="60" x14ac:dyDescent="0.25">
      <c r="A26" s="2" t="s">
        <v>114</v>
      </c>
      <c r="B26" s="2" t="s">
        <v>115</v>
      </c>
      <c r="C26" s="3" t="s">
        <v>532</v>
      </c>
      <c r="D26" s="2" t="s">
        <v>533</v>
      </c>
      <c r="E26" s="2" t="s">
        <v>105</v>
      </c>
      <c r="F26" s="2" t="s">
        <v>16</v>
      </c>
      <c r="G26" s="2" t="s">
        <v>17</v>
      </c>
      <c r="H26" s="2" t="s">
        <v>18</v>
      </c>
    </row>
    <row r="27" spans="1:8" ht="45" x14ac:dyDescent="0.25">
      <c r="A27" s="2" t="s">
        <v>114</v>
      </c>
      <c r="B27" s="2" t="s">
        <v>138</v>
      </c>
      <c r="C27" s="3" t="s">
        <v>139</v>
      </c>
      <c r="D27" s="2" t="s">
        <v>534</v>
      </c>
      <c r="E27" s="2" t="s">
        <v>535</v>
      </c>
      <c r="F27" s="2" t="s">
        <v>16</v>
      </c>
      <c r="G27" s="2" t="s">
        <v>17</v>
      </c>
      <c r="H27" s="2" t="s">
        <v>45</v>
      </c>
    </row>
    <row r="28" spans="1:8" ht="60" x14ac:dyDescent="0.25">
      <c r="A28" s="2" t="s">
        <v>114</v>
      </c>
      <c r="B28" s="2" t="s">
        <v>138</v>
      </c>
      <c r="C28" s="3" t="s">
        <v>142</v>
      </c>
      <c r="D28" s="2" t="s">
        <v>536</v>
      </c>
      <c r="E28" s="2" t="s">
        <v>535</v>
      </c>
      <c r="F28" s="2" t="s">
        <v>16</v>
      </c>
      <c r="G28" s="2" t="s">
        <v>17</v>
      </c>
      <c r="H28" s="2" t="s">
        <v>45</v>
      </c>
    </row>
    <row r="29" spans="1:8" ht="45" x14ac:dyDescent="0.25">
      <c r="A29" s="2" t="s">
        <v>114</v>
      </c>
      <c r="B29" s="2" t="s">
        <v>115</v>
      </c>
      <c r="C29" s="3" t="s">
        <v>128</v>
      </c>
      <c r="D29" s="2" t="s">
        <v>537</v>
      </c>
      <c r="E29" s="2" t="s">
        <v>105</v>
      </c>
      <c r="F29" s="2" t="s">
        <v>16</v>
      </c>
      <c r="G29" s="2" t="s">
        <v>17</v>
      </c>
      <c r="H29" s="2" t="s">
        <v>21</v>
      </c>
    </row>
    <row r="30" spans="1:8" ht="45" x14ac:dyDescent="0.25">
      <c r="A30" s="2" t="s">
        <v>114</v>
      </c>
      <c r="B30" s="2" t="s">
        <v>115</v>
      </c>
      <c r="C30" s="3" t="s">
        <v>538</v>
      </c>
      <c r="D30" s="2" t="s">
        <v>539</v>
      </c>
      <c r="E30" s="2" t="s">
        <v>105</v>
      </c>
      <c r="F30" s="2" t="s">
        <v>16</v>
      </c>
      <c r="G30" s="2" t="s">
        <v>17</v>
      </c>
      <c r="H30" s="2" t="s">
        <v>18</v>
      </c>
    </row>
    <row r="31" spans="1:8" ht="30" x14ac:dyDescent="0.25">
      <c r="A31" s="2" t="s">
        <v>114</v>
      </c>
      <c r="B31" s="2" t="s">
        <v>115</v>
      </c>
      <c r="C31" s="3" t="s">
        <v>136</v>
      </c>
      <c r="D31" s="2" t="s">
        <v>540</v>
      </c>
      <c r="E31" s="2" t="s">
        <v>105</v>
      </c>
      <c r="F31" s="2" t="s">
        <v>16</v>
      </c>
      <c r="G31" s="2" t="s">
        <v>17</v>
      </c>
      <c r="H31" s="2" t="s">
        <v>21</v>
      </c>
    </row>
    <row r="32" spans="1:8" ht="45" x14ac:dyDescent="0.25">
      <c r="A32" s="2" t="s">
        <v>114</v>
      </c>
      <c r="B32" s="2" t="s">
        <v>172</v>
      </c>
      <c r="C32" s="3" t="s">
        <v>541</v>
      </c>
      <c r="D32" s="2" t="s">
        <v>542</v>
      </c>
      <c r="E32" s="2" t="s">
        <v>175</v>
      </c>
      <c r="F32" s="2" t="s">
        <v>16</v>
      </c>
      <c r="G32" s="2" t="s">
        <v>17</v>
      </c>
      <c r="H32" s="2" t="s">
        <v>18</v>
      </c>
    </row>
    <row r="33" spans="1:8" ht="45" x14ac:dyDescent="0.25">
      <c r="A33" s="2" t="s">
        <v>114</v>
      </c>
      <c r="B33" s="2" t="s">
        <v>172</v>
      </c>
      <c r="C33" s="3" t="s">
        <v>543</v>
      </c>
      <c r="D33" s="2" t="s">
        <v>544</v>
      </c>
      <c r="E33" s="2" t="s">
        <v>175</v>
      </c>
      <c r="F33" s="2" t="s">
        <v>176</v>
      </c>
      <c r="G33" s="4" t="s">
        <v>545</v>
      </c>
      <c r="H33" s="2" t="s">
        <v>18</v>
      </c>
    </row>
    <row r="34" spans="1:8" ht="45" x14ac:dyDescent="0.25">
      <c r="A34" s="2" t="s">
        <v>114</v>
      </c>
      <c r="B34" s="2" t="s">
        <v>172</v>
      </c>
      <c r="C34" s="3" t="s">
        <v>178</v>
      </c>
      <c r="D34" s="2" t="s">
        <v>546</v>
      </c>
      <c r="E34" s="2" t="s">
        <v>547</v>
      </c>
      <c r="F34" s="2" t="s">
        <v>125</v>
      </c>
      <c r="G34" s="2" t="s">
        <v>17</v>
      </c>
      <c r="H34" s="2" t="s">
        <v>18</v>
      </c>
    </row>
    <row r="35" spans="1:8" ht="45" x14ac:dyDescent="0.25">
      <c r="A35" s="2" t="s">
        <v>114</v>
      </c>
      <c r="B35" s="2" t="s">
        <v>172</v>
      </c>
      <c r="C35" s="3" t="s">
        <v>180</v>
      </c>
      <c r="D35" s="2" t="s">
        <v>548</v>
      </c>
      <c r="E35" s="2" t="s">
        <v>549</v>
      </c>
      <c r="F35" s="2" t="s">
        <v>125</v>
      </c>
      <c r="G35" s="2" t="s">
        <v>17</v>
      </c>
      <c r="H35" s="2" t="s">
        <v>45</v>
      </c>
    </row>
    <row r="36" spans="1:8" ht="45" x14ac:dyDescent="0.25">
      <c r="A36" s="2" t="s">
        <v>114</v>
      </c>
      <c r="B36" s="2" t="s">
        <v>149</v>
      </c>
      <c r="C36" s="3" t="s">
        <v>550</v>
      </c>
      <c r="D36" s="2" t="s">
        <v>551</v>
      </c>
      <c r="E36" s="2" t="s">
        <v>85</v>
      </c>
      <c r="F36" s="2" t="s">
        <v>71</v>
      </c>
      <c r="G36" s="4" t="s">
        <v>152</v>
      </c>
      <c r="H36" s="2" t="s">
        <v>18</v>
      </c>
    </row>
    <row r="37" spans="1:8" ht="45" x14ac:dyDescent="0.25">
      <c r="A37" s="2" t="s">
        <v>114</v>
      </c>
      <c r="B37" s="2" t="s">
        <v>149</v>
      </c>
      <c r="C37" s="3" t="s">
        <v>552</v>
      </c>
      <c r="D37" s="2" t="s">
        <v>553</v>
      </c>
      <c r="E37" s="2" t="s">
        <v>85</v>
      </c>
      <c r="F37" s="2" t="s">
        <v>71</v>
      </c>
      <c r="G37" s="4" t="s">
        <v>152</v>
      </c>
      <c r="H37" s="2" t="s">
        <v>18</v>
      </c>
    </row>
    <row r="38" spans="1:8" ht="45" x14ac:dyDescent="0.25">
      <c r="A38" s="2" t="s">
        <v>114</v>
      </c>
      <c r="B38" s="2" t="s">
        <v>149</v>
      </c>
      <c r="C38" s="3" t="s">
        <v>554</v>
      </c>
      <c r="D38" s="2" t="s">
        <v>555</v>
      </c>
      <c r="E38" s="2" t="s">
        <v>85</v>
      </c>
      <c r="F38" s="2" t="s">
        <v>71</v>
      </c>
      <c r="G38" s="4" t="s">
        <v>152</v>
      </c>
      <c r="H38" s="2" t="s">
        <v>21</v>
      </c>
    </row>
    <row r="39" spans="1:8" ht="45" x14ac:dyDescent="0.25">
      <c r="A39" s="2" t="s">
        <v>114</v>
      </c>
      <c r="B39" s="2" t="s">
        <v>164</v>
      </c>
      <c r="C39" s="3" t="s">
        <v>165</v>
      </c>
      <c r="D39" s="2" t="s">
        <v>556</v>
      </c>
      <c r="E39" s="2" t="s">
        <v>51</v>
      </c>
      <c r="F39" s="2" t="s">
        <v>167</v>
      </c>
      <c r="G39" s="4" t="s">
        <v>168</v>
      </c>
      <c r="H39" s="2" t="s">
        <v>18</v>
      </c>
    </row>
    <row r="40" spans="1:8" ht="30" x14ac:dyDescent="0.25">
      <c r="A40" s="2" t="s">
        <v>114</v>
      </c>
      <c r="B40" s="2" t="s">
        <v>144</v>
      </c>
      <c r="C40" s="3" t="s">
        <v>557</v>
      </c>
      <c r="D40" s="2" t="s">
        <v>558</v>
      </c>
      <c r="E40" s="2" t="s">
        <v>51</v>
      </c>
      <c r="F40" s="2" t="s">
        <v>16</v>
      </c>
      <c r="G40" s="2" t="s">
        <v>17</v>
      </c>
      <c r="H40" s="2" t="s">
        <v>21</v>
      </c>
    </row>
    <row r="41" spans="1:8" ht="30" x14ac:dyDescent="0.25">
      <c r="A41" s="2" t="s">
        <v>114</v>
      </c>
      <c r="B41" s="2" t="s">
        <v>144</v>
      </c>
      <c r="C41" s="3" t="s">
        <v>559</v>
      </c>
      <c r="D41" s="2" t="s">
        <v>560</v>
      </c>
      <c r="E41" s="2" t="s">
        <v>51</v>
      </c>
      <c r="F41" s="2" t="s">
        <v>16</v>
      </c>
      <c r="G41" s="2" t="s">
        <v>17</v>
      </c>
      <c r="H41" s="2" t="s">
        <v>21</v>
      </c>
    </row>
    <row r="42" spans="1:8" ht="60" x14ac:dyDescent="0.25">
      <c r="A42" s="2" t="s">
        <v>114</v>
      </c>
      <c r="B42" s="2" t="s">
        <v>144</v>
      </c>
      <c r="C42" s="3" t="s">
        <v>116</v>
      </c>
      <c r="D42" s="2" t="s">
        <v>561</v>
      </c>
      <c r="E42" s="2" t="s">
        <v>118</v>
      </c>
      <c r="F42" s="2" t="s">
        <v>16</v>
      </c>
      <c r="G42" s="2" t="s">
        <v>17</v>
      </c>
      <c r="H42" s="2" t="s">
        <v>18</v>
      </c>
    </row>
    <row r="43" spans="1:8" ht="45" x14ac:dyDescent="0.25">
      <c r="A43" s="2" t="s">
        <v>114</v>
      </c>
      <c r="B43" s="2" t="s">
        <v>183</v>
      </c>
      <c r="C43" s="3" t="s">
        <v>562</v>
      </c>
      <c r="D43" s="2" t="s">
        <v>563</v>
      </c>
      <c r="E43" s="2" t="s">
        <v>186</v>
      </c>
      <c r="F43" s="2" t="s">
        <v>125</v>
      </c>
      <c r="G43" s="2" t="s">
        <v>17</v>
      </c>
      <c r="H43" s="2" t="s">
        <v>18</v>
      </c>
    </row>
    <row r="44" spans="1:8" ht="30" x14ac:dyDescent="0.25">
      <c r="A44" s="2" t="s">
        <v>114</v>
      </c>
      <c r="B44" s="2" t="s">
        <v>183</v>
      </c>
      <c r="C44" s="3" t="s">
        <v>564</v>
      </c>
      <c r="D44" s="2" t="s">
        <v>565</v>
      </c>
      <c r="E44" s="2" t="s">
        <v>186</v>
      </c>
      <c r="F44" s="2" t="s">
        <v>125</v>
      </c>
      <c r="G44" s="2" t="s">
        <v>17</v>
      </c>
      <c r="H44" s="2" t="s">
        <v>18</v>
      </c>
    </row>
    <row r="45" spans="1:8" ht="30" x14ac:dyDescent="0.25">
      <c r="A45" s="2" t="s">
        <v>114</v>
      </c>
      <c r="B45" s="2" t="s">
        <v>183</v>
      </c>
      <c r="C45" s="3" t="s">
        <v>566</v>
      </c>
      <c r="D45" s="2" t="s">
        <v>567</v>
      </c>
      <c r="E45" s="2" t="s">
        <v>186</v>
      </c>
      <c r="F45" s="2" t="s">
        <v>125</v>
      </c>
      <c r="G45" s="2" t="s">
        <v>17</v>
      </c>
      <c r="H45" s="2" t="s">
        <v>18</v>
      </c>
    </row>
    <row r="46" spans="1:8" ht="45" x14ac:dyDescent="0.25">
      <c r="A46" s="2" t="s">
        <v>114</v>
      </c>
      <c r="B46" s="2" t="s">
        <v>169</v>
      </c>
      <c r="C46" s="3" t="s">
        <v>568</v>
      </c>
      <c r="D46" s="2" t="s">
        <v>569</v>
      </c>
      <c r="E46" s="2" t="s">
        <v>15</v>
      </c>
      <c r="F46" s="2" t="s">
        <v>37</v>
      </c>
      <c r="G46" s="2" t="s">
        <v>17</v>
      </c>
      <c r="H46" s="2" t="s">
        <v>45</v>
      </c>
    </row>
    <row r="47" spans="1:8" ht="45" x14ac:dyDescent="0.25">
      <c r="A47" s="2" t="s">
        <v>114</v>
      </c>
      <c r="B47" s="2" t="s">
        <v>169</v>
      </c>
      <c r="C47" s="3" t="s">
        <v>570</v>
      </c>
      <c r="D47" s="2" t="s">
        <v>571</v>
      </c>
      <c r="E47" s="2" t="s">
        <v>15</v>
      </c>
      <c r="F47" s="2" t="s">
        <v>37</v>
      </c>
      <c r="G47" s="2" t="s">
        <v>17</v>
      </c>
      <c r="H47" s="2" t="s">
        <v>18</v>
      </c>
    </row>
    <row r="48" spans="1:8" ht="60" x14ac:dyDescent="0.25">
      <c r="A48" s="2" t="s">
        <v>114</v>
      </c>
      <c r="B48" s="2" t="s">
        <v>153</v>
      </c>
      <c r="C48" s="3" t="s">
        <v>154</v>
      </c>
      <c r="D48" s="2" t="s">
        <v>572</v>
      </c>
      <c r="E48" s="2" t="s">
        <v>15</v>
      </c>
      <c r="F48" s="2" t="s">
        <v>16</v>
      </c>
      <c r="G48" s="2" t="s">
        <v>17</v>
      </c>
      <c r="H48" s="2" t="s">
        <v>21</v>
      </c>
    </row>
    <row r="49" spans="1:8" ht="60" x14ac:dyDescent="0.25">
      <c r="A49" s="2" t="s">
        <v>114</v>
      </c>
      <c r="B49" s="2" t="s">
        <v>153</v>
      </c>
      <c r="C49" s="3" t="s">
        <v>156</v>
      </c>
      <c r="D49" s="2" t="s">
        <v>573</v>
      </c>
      <c r="E49" s="2" t="s">
        <v>15</v>
      </c>
      <c r="F49" s="2" t="s">
        <v>16</v>
      </c>
      <c r="G49" s="2" t="s">
        <v>17</v>
      </c>
      <c r="H49" s="2" t="s">
        <v>21</v>
      </c>
    </row>
    <row r="50" spans="1:8" ht="30" x14ac:dyDescent="0.25">
      <c r="A50" s="2" t="s">
        <v>114</v>
      </c>
      <c r="B50" s="2" t="s">
        <v>153</v>
      </c>
      <c r="C50" s="3" t="s">
        <v>158</v>
      </c>
      <c r="D50" s="2" t="s">
        <v>574</v>
      </c>
      <c r="E50" s="2" t="s">
        <v>15</v>
      </c>
      <c r="F50" s="2" t="s">
        <v>16</v>
      </c>
      <c r="G50" s="2" t="s">
        <v>17</v>
      </c>
      <c r="H50" s="2" t="s">
        <v>18</v>
      </c>
    </row>
    <row r="51" spans="1:8" ht="30" x14ac:dyDescent="0.25">
      <c r="A51" s="2" t="s">
        <v>114</v>
      </c>
      <c r="B51" s="2" t="s">
        <v>153</v>
      </c>
      <c r="C51" s="3" t="s">
        <v>159</v>
      </c>
      <c r="D51" s="2" t="s">
        <v>575</v>
      </c>
      <c r="E51" s="2" t="s">
        <v>15</v>
      </c>
      <c r="F51" s="2" t="s">
        <v>16</v>
      </c>
      <c r="G51" s="2" t="s">
        <v>17</v>
      </c>
      <c r="H51" s="2" t="s">
        <v>18</v>
      </c>
    </row>
    <row r="52" spans="1:8" ht="30" x14ac:dyDescent="0.25">
      <c r="A52" s="2" t="s">
        <v>114</v>
      </c>
      <c r="B52" s="2" t="s">
        <v>153</v>
      </c>
      <c r="C52" s="3" t="s">
        <v>576</v>
      </c>
      <c r="D52" s="2" t="s">
        <v>577</v>
      </c>
      <c r="E52" s="2" t="s">
        <v>15</v>
      </c>
      <c r="F52" s="2" t="s">
        <v>16</v>
      </c>
      <c r="G52" s="2" t="s">
        <v>17</v>
      </c>
      <c r="H52" s="2" t="s">
        <v>18</v>
      </c>
    </row>
    <row r="53" spans="1:8" ht="45" x14ac:dyDescent="0.25">
      <c r="A53" s="2" t="s">
        <v>68</v>
      </c>
      <c r="B53" s="2" t="s">
        <v>52</v>
      </c>
      <c r="C53" s="3" t="s">
        <v>69</v>
      </c>
      <c r="D53" s="2" t="s">
        <v>578</v>
      </c>
      <c r="E53" s="2" t="s">
        <v>24</v>
      </c>
      <c r="F53" s="2" t="s">
        <v>71</v>
      </c>
      <c r="G53" s="4" t="s">
        <v>72</v>
      </c>
      <c r="H53" s="2" t="s">
        <v>18</v>
      </c>
    </row>
    <row r="54" spans="1:8" ht="60" x14ac:dyDescent="0.25">
      <c r="A54" s="2" t="s">
        <v>68</v>
      </c>
      <c r="B54" s="2" t="s">
        <v>52</v>
      </c>
      <c r="C54" s="3" t="s">
        <v>73</v>
      </c>
      <c r="D54" s="2" t="s">
        <v>579</v>
      </c>
      <c r="E54" s="2" t="s">
        <v>24</v>
      </c>
      <c r="F54" s="2" t="s">
        <v>16</v>
      </c>
      <c r="G54" s="2" t="s">
        <v>17</v>
      </c>
      <c r="H54" s="2" t="s">
        <v>18</v>
      </c>
    </row>
    <row r="55" spans="1:8" ht="45" x14ac:dyDescent="0.25">
      <c r="A55" s="2" t="s">
        <v>68</v>
      </c>
      <c r="B55" s="2" t="s">
        <v>93</v>
      </c>
      <c r="C55" s="3" t="s">
        <v>94</v>
      </c>
      <c r="D55" s="2" t="s">
        <v>580</v>
      </c>
      <c r="E55" s="2" t="s">
        <v>24</v>
      </c>
      <c r="F55" s="2" t="s">
        <v>16</v>
      </c>
      <c r="G55" s="2" t="s">
        <v>17</v>
      </c>
      <c r="H55" s="2" t="s">
        <v>18</v>
      </c>
    </row>
    <row r="56" spans="1:8" ht="30" x14ac:dyDescent="0.25">
      <c r="A56" s="2" t="s">
        <v>68</v>
      </c>
      <c r="B56" s="2" t="s">
        <v>93</v>
      </c>
      <c r="C56" s="3" t="s">
        <v>95</v>
      </c>
      <c r="D56" s="2" t="s">
        <v>581</v>
      </c>
      <c r="E56" s="2" t="s">
        <v>15</v>
      </c>
      <c r="F56" s="2" t="s">
        <v>37</v>
      </c>
      <c r="G56" s="2" t="s">
        <v>17</v>
      </c>
      <c r="H56" s="2" t="s">
        <v>21</v>
      </c>
    </row>
    <row r="57" spans="1:8" ht="45" x14ac:dyDescent="0.25">
      <c r="A57" s="2" t="s">
        <v>68</v>
      </c>
      <c r="B57" s="2" t="s">
        <v>52</v>
      </c>
      <c r="C57" s="3" t="s">
        <v>582</v>
      </c>
      <c r="D57" s="2" t="s">
        <v>583</v>
      </c>
      <c r="E57" s="2" t="s">
        <v>15</v>
      </c>
      <c r="F57" s="2" t="s">
        <v>71</v>
      </c>
      <c r="G57" s="4" t="s">
        <v>584</v>
      </c>
      <c r="H57" s="2" t="s">
        <v>18</v>
      </c>
    </row>
    <row r="58" spans="1:8" ht="45" x14ac:dyDescent="0.25">
      <c r="A58" s="2" t="s">
        <v>68</v>
      </c>
      <c r="B58" s="2" t="s">
        <v>75</v>
      </c>
      <c r="C58" s="3" t="s">
        <v>76</v>
      </c>
      <c r="D58" s="2" t="s">
        <v>585</v>
      </c>
      <c r="E58" s="2" t="s">
        <v>15</v>
      </c>
      <c r="F58" s="2" t="s">
        <v>16</v>
      </c>
      <c r="G58" s="2" t="s">
        <v>17</v>
      </c>
      <c r="H58" s="2" t="s">
        <v>18</v>
      </c>
    </row>
    <row r="59" spans="1:8" ht="45" x14ac:dyDescent="0.25">
      <c r="A59" s="2" t="s">
        <v>68</v>
      </c>
      <c r="B59" s="2" t="s">
        <v>75</v>
      </c>
      <c r="C59" s="3" t="s">
        <v>586</v>
      </c>
      <c r="D59" s="2" t="s">
        <v>587</v>
      </c>
      <c r="E59" s="2" t="s">
        <v>15</v>
      </c>
      <c r="F59" s="2" t="s">
        <v>71</v>
      </c>
      <c r="G59" s="4" t="s">
        <v>584</v>
      </c>
      <c r="H59" s="2" t="s">
        <v>18</v>
      </c>
    </row>
    <row r="60" spans="1:8" ht="30" x14ac:dyDescent="0.25">
      <c r="A60" s="2" t="s">
        <v>68</v>
      </c>
      <c r="B60" s="2" t="s">
        <v>75</v>
      </c>
      <c r="C60" s="3" t="s">
        <v>86</v>
      </c>
      <c r="D60" s="2" t="s">
        <v>588</v>
      </c>
      <c r="E60" s="2" t="s">
        <v>15</v>
      </c>
      <c r="F60" s="2" t="s">
        <v>16</v>
      </c>
      <c r="G60" s="2" t="s">
        <v>17</v>
      </c>
      <c r="H60" s="2" t="s">
        <v>18</v>
      </c>
    </row>
    <row r="61" spans="1:8" ht="45" x14ac:dyDescent="0.25">
      <c r="A61" s="2" t="s">
        <v>68</v>
      </c>
      <c r="B61" s="2" t="s">
        <v>75</v>
      </c>
      <c r="C61" s="3" t="s">
        <v>589</v>
      </c>
      <c r="D61" s="2" t="s">
        <v>590</v>
      </c>
      <c r="E61" s="2" t="s">
        <v>591</v>
      </c>
      <c r="F61" s="2" t="s">
        <v>16</v>
      </c>
      <c r="G61" s="2" t="s">
        <v>17</v>
      </c>
      <c r="H61" s="2" t="s">
        <v>18</v>
      </c>
    </row>
    <row r="62" spans="1:8" ht="45" x14ac:dyDescent="0.25">
      <c r="A62" s="2" t="s">
        <v>68</v>
      </c>
      <c r="B62" s="2" t="s">
        <v>592</v>
      </c>
      <c r="C62" s="3" t="s">
        <v>593</v>
      </c>
      <c r="D62" s="2" t="s">
        <v>594</v>
      </c>
      <c r="E62" s="2" t="s">
        <v>15</v>
      </c>
      <c r="F62" s="2" t="s">
        <v>16</v>
      </c>
      <c r="G62" s="2" t="s">
        <v>17</v>
      </c>
      <c r="H62" s="2" t="s">
        <v>18</v>
      </c>
    </row>
    <row r="63" spans="1:8" ht="45" x14ac:dyDescent="0.25">
      <c r="A63" s="2" t="s">
        <v>68</v>
      </c>
      <c r="B63" s="2" t="s">
        <v>88</v>
      </c>
      <c r="C63" s="3" t="s">
        <v>91</v>
      </c>
      <c r="D63" s="2" t="s">
        <v>595</v>
      </c>
      <c r="E63" s="2" t="s">
        <v>15</v>
      </c>
      <c r="F63" s="2" t="s">
        <v>16</v>
      </c>
      <c r="G63" s="2" t="s">
        <v>17</v>
      </c>
      <c r="H63" s="2" t="s">
        <v>18</v>
      </c>
    </row>
    <row r="64" spans="1:8" ht="30" x14ac:dyDescent="0.25">
      <c r="A64" s="2" t="s">
        <v>68</v>
      </c>
      <c r="B64" s="2" t="s">
        <v>88</v>
      </c>
      <c r="C64" s="3" t="s">
        <v>92</v>
      </c>
      <c r="D64" s="2" t="s">
        <v>596</v>
      </c>
      <c r="E64" s="2" t="s">
        <v>15</v>
      </c>
      <c r="F64" s="2" t="s">
        <v>16</v>
      </c>
      <c r="G64" s="2" t="s">
        <v>17</v>
      </c>
      <c r="H64" s="2" t="s">
        <v>18</v>
      </c>
    </row>
    <row r="65" spans="1:8" ht="30" x14ac:dyDescent="0.25">
      <c r="A65" s="2" t="s">
        <v>68</v>
      </c>
      <c r="B65" s="2" t="s">
        <v>88</v>
      </c>
      <c r="C65" s="3" t="s">
        <v>597</v>
      </c>
      <c r="D65" s="2" t="s">
        <v>598</v>
      </c>
      <c r="E65" s="2" t="s">
        <v>15</v>
      </c>
      <c r="F65" s="2" t="s">
        <v>16</v>
      </c>
      <c r="G65" s="2" t="s">
        <v>17</v>
      </c>
      <c r="H65" s="2" t="s">
        <v>18</v>
      </c>
    </row>
    <row r="66" spans="1:8" ht="45" x14ac:dyDescent="0.25">
      <c r="A66" s="2" t="s">
        <v>187</v>
      </c>
      <c r="B66" s="2" t="s">
        <v>247</v>
      </c>
      <c r="C66" s="3" t="s">
        <v>599</v>
      </c>
      <c r="D66" s="2" t="s">
        <v>600</v>
      </c>
      <c r="E66" s="2" t="s">
        <v>250</v>
      </c>
      <c r="F66" s="2" t="s">
        <v>37</v>
      </c>
      <c r="G66" s="2" t="s">
        <v>17</v>
      </c>
      <c r="H66" s="2" t="s">
        <v>18</v>
      </c>
    </row>
    <row r="67" spans="1:8" ht="45" x14ac:dyDescent="0.25">
      <c r="A67" s="2" t="s">
        <v>187</v>
      </c>
      <c r="B67" s="2" t="s">
        <v>247</v>
      </c>
      <c r="C67" s="3" t="s">
        <v>601</v>
      </c>
      <c r="D67" s="2" t="s">
        <v>602</v>
      </c>
      <c r="E67" s="2" t="s">
        <v>250</v>
      </c>
      <c r="F67" s="2" t="s">
        <v>37</v>
      </c>
      <c r="G67" s="2" t="s">
        <v>17</v>
      </c>
      <c r="H67" s="2" t="s">
        <v>18</v>
      </c>
    </row>
    <row r="68" spans="1:8" ht="45" x14ac:dyDescent="0.25">
      <c r="A68" s="2" t="s">
        <v>187</v>
      </c>
      <c r="B68" s="2" t="s">
        <v>247</v>
      </c>
      <c r="C68" s="3" t="s">
        <v>603</v>
      </c>
      <c r="D68" s="2" t="s">
        <v>604</v>
      </c>
      <c r="E68" s="2" t="s">
        <v>250</v>
      </c>
      <c r="F68" s="2" t="s">
        <v>37</v>
      </c>
      <c r="G68" s="2" t="s">
        <v>17</v>
      </c>
      <c r="H68" s="2" t="s">
        <v>18</v>
      </c>
    </row>
    <row r="69" spans="1:8" ht="60" x14ac:dyDescent="0.25">
      <c r="A69" s="2" t="s">
        <v>187</v>
      </c>
      <c r="B69" s="2" t="s">
        <v>247</v>
      </c>
      <c r="C69" s="3" t="s">
        <v>605</v>
      </c>
      <c r="D69" s="2" t="s">
        <v>606</v>
      </c>
      <c r="E69" s="2" t="s">
        <v>250</v>
      </c>
      <c r="F69" s="2" t="s">
        <v>167</v>
      </c>
      <c r="G69" s="4" t="s">
        <v>607</v>
      </c>
      <c r="H69" s="2" t="s">
        <v>18</v>
      </c>
    </row>
    <row r="70" spans="1:8" ht="45" x14ac:dyDescent="0.25">
      <c r="A70" s="2" t="s">
        <v>187</v>
      </c>
      <c r="B70" s="2" t="s">
        <v>258</v>
      </c>
      <c r="C70" s="3" t="s">
        <v>259</v>
      </c>
      <c r="D70" s="2" t="s">
        <v>608</v>
      </c>
      <c r="E70" s="2" t="s">
        <v>609</v>
      </c>
      <c r="F70" s="2" t="s">
        <v>167</v>
      </c>
      <c r="G70" s="4" t="s">
        <v>610</v>
      </c>
      <c r="H70" s="2" t="s">
        <v>18</v>
      </c>
    </row>
    <row r="71" spans="1:8" ht="60" x14ac:dyDescent="0.25">
      <c r="A71" s="2" t="s">
        <v>187</v>
      </c>
      <c r="B71" s="2" t="s">
        <v>425</v>
      </c>
      <c r="C71" s="3" t="s">
        <v>254</v>
      </c>
      <c r="D71" s="2" t="s">
        <v>611</v>
      </c>
      <c r="E71" s="2" t="s">
        <v>250</v>
      </c>
      <c r="F71" s="2" t="s">
        <v>37</v>
      </c>
      <c r="G71" s="2" t="s">
        <v>17</v>
      </c>
      <c r="H71" s="2" t="s">
        <v>21</v>
      </c>
    </row>
    <row r="72" spans="1:8" ht="45" x14ac:dyDescent="0.25">
      <c r="A72" s="2" t="s">
        <v>187</v>
      </c>
      <c r="B72" s="2" t="s">
        <v>214</v>
      </c>
      <c r="C72" s="3" t="s">
        <v>215</v>
      </c>
      <c r="D72" s="2" t="s">
        <v>612</v>
      </c>
      <c r="E72" s="2" t="s">
        <v>82</v>
      </c>
      <c r="F72" s="2" t="s">
        <v>71</v>
      </c>
      <c r="G72" s="4" t="s">
        <v>613</v>
      </c>
      <c r="H72" s="2" t="s">
        <v>45</v>
      </c>
    </row>
    <row r="73" spans="1:8" ht="75" x14ac:dyDescent="0.25">
      <c r="A73" s="2" t="s">
        <v>187</v>
      </c>
      <c r="B73" s="2" t="s">
        <v>214</v>
      </c>
      <c r="C73" s="3" t="s">
        <v>614</v>
      </c>
      <c r="D73" s="2" t="s">
        <v>615</v>
      </c>
      <c r="E73" s="2" t="s">
        <v>220</v>
      </c>
      <c r="F73" s="2" t="s">
        <v>125</v>
      </c>
      <c r="G73" s="2" t="s">
        <v>17</v>
      </c>
      <c r="H73" s="2" t="s">
        <v>45</v>
      </c>
    </row>
    <row r="74" spans="1:8" ht="75" x14ac:dyDescent="0.25">
      <c r="A74" s="2" t="s">
        <v>187</v>
      </c>
      <c r="B74" s="2" t="s">
        <v>253</v>
      </c>
      <c r="C74" s="3" t="s">
        <v>616</v>
      </c>
      <c r="D74" s="2" t="s">
        <v>617</v>
      </c>
      <c r="E74" s="2" t="s">
        <v>220</v>
      </c>
      <c r="F74" s="2" t="s">
        <v>125</v>
      </c>
      <c r="G74" s="2" t="s">
        <v>17</v>
      </c>
      <c r="H74" s="2" t="s">
        <v>45</v>
      </c>
    </row>
    <row r="75" spans="1:8" ht="90" x14ac:dyDescent="0.25">
      <c r="A75" s="2" t="s">
        <v>187</v>
      </c>
      <c r="B75" s="2" t="s">
        <v>253</v>
      </c>
      <c r="C75" s="3" t="s">
        <v>618</v>
      </c>
      <c r="D75" s="2" t="s">
        <v>619</v>
      </c>
      <c r="E75" s="2" t="s">
        <v>220</v>
      </c>
      <c r="F75" s="2" t="s">
        <v>125</v>
      </c>
      <c r="G75" s="2" t="s">
        <v>17</v>
      </c>
      <c r="H75" s="2" t="s">
        <v>45</v>
      </c>
    </row>
    <row r="76" spans="1:8" ht="30" x14ac:dyDescent="0.25">
      <c r="A76" s="2" t="s">
        <v>187</v>
      </c>
      <c r="B76" s="2" t="s">
        <v>223</v>
      </c>
      <c r="C76" s="3" t="s">
        <v>224</v>
      </c>
      <c r="D76" s="2" t="s">
        <v>620</v>
      </c>
      <c r="E76" s="2" t="s">
        <v>82</v>
      </c>
      <c r="F76" s="2" t="s">
        <v>71</v>
      </c>
      <c r="G76" s="4" t="s">
        <v>621</v>
      </c>
      <c r="H76" s="2" t="s">
        <v>18</v>
      </c>
    </row>
    <row r="77" spans="1:8" ht="45" x14ac:dyDescent="0.25">
      <c r="A77" s="2" t="s">
        <v>187</v>
      </c>
      <c r="B77" s="2" t="s">
        <v>223</v>
      </c>
      <c r="C77" s="3" t="s">
        <v>227</v>
      </c>
      <c r="D77" s="2" t="s">
        <v>622</v>
      </c>
      <c r="E77" s="2" t="s">
        <v>82</v>
      </c>
      <c r="F77" s="2" t="s">
        <v>71</v>
      </c>
      <c r="G77" s="4" t="s">
        <v>621</v>
      </c>
      <c r="H77" s="2" t="s">
        <v>18</v>
      </c>
    </row>
    <row r="78" spans="1:8" ht="90" x14ac:dyDescent="0.25">
      <c r="A78" s="2" t="s">
        <v>187</v>
      </c>
      <c r="B78" s="2" t="s">
        <v>223</v>
      </c>
      <c r="C78" s="3" t="s">
        <v>623</v>
      </c>
      <c r="D78" s="2" t="s">
        <v>624</v>
      </c>
      <c r="E78" s="2" t="s">
        <v>82</v>
      </c>
      <c r="F78" s="2" t="s">
        <v>167</v>
      </c>
      <c r="G78" s="4" t="s">
        <v>625</v>
      </c>
      <c r="H78" s="2" t="s">
        <v>45</v>
      </c>
    </row>
    <row r="79" spans="1:8" ht="60" x14ac:dyDescent="0.25">
      <c r="A79" s="2" t="s">
        <v>187</v>
      </c>
      <c r="B79" s="2" t="s">
        <v>240</v>
      </c>
      <c r="C79" s="3" t="s">
        <v>241</v>
      </c>
      <c r="D79" s="2" t="s">
        <v>626</v>
      </c>
      <c r="E79" s="2" t="s">
        <v>627</v>
      </c>
      <c r="F79" s="2" t="s">
        <v>71</v>
      </c>
      <c r="G79" s="4" t="s">
        <v>628</v>
      </c>
      <c r="H79" s="2" t="s">
        <v>18</v>
      </c>
    </row>
    <row r="80" spans="1:8" ht="45" x14ac:dyDescent="0.25">
      <c r="A80" s="2" t="s">
        <v>187</v>
      </c>
      <c r="B80" s="2" t="s">
        <v>240</v>
      </c>
      <c r="C80" s="3" t="s">
        <v>244</v>
      </c>
      <c r="D80" s="2" t="s">
        <v>629</v>
      </c>
      <c r="E80" s="2" t="s">
        <v>630</v>
      </c>
      <c r="F80" s="2" t="s">
        <v>37</v>
      </c>
      <c r="G80" s="2" t="s">
        <v>17</v>
      </c>
      <c r="H80" s="2" t="s">
        <v>18</v>
      </c>
    </row>
    <row r="81" spans="1:8" ht="30" x14ac:dyDescent="0.25">
      <c r="A81" s="2" t="s">
        <v>187</v>
      </c>
      <c r="B81" s="2" t="s">
        <v>200</v>
      </c>
      <c r="C81" s="3" t="s">
        <v>201</v>
      </c>
      <c r="D81" s="2" t="s">
        <v>631</v>
      </c>
      <c r="E81" s="2" t="s">
        <v>203</v>
      </c>
      <c r="F81" s="2" t="s">
        <v>125</v>
      </c>
      <c r="G81" s="2" t="s">
        <v>17</v>
      </c>
      <c r="H81" s="2" t="s">
        <v>45</v>
      </c>
    </row>
    <row r="82" spans="1:8" ht="30" x14ac:dyDescent="0.25">
      <c r="A82" s="2" t="s">
        <v>187</v>
      </c>
      <c r="B82" s="2" t="s">
        <v>200</v>
      </c>
      <c r="C82" s="3" t="s">
        <v>632</v>
      </c>
      <c r="D82" s="2" t="s">
        <v>633</v>
      </c>
      <c r="E82" s="2" t="s">
        <v>203</v>
      </c>
      <c r="F82" s="2" t="s">
        <v>125</v>
      </c>
      <c r="G82" s="2" t="s">
        <v>17</v>
      </c>
      <c r="H82" s="2" t="s">
        <v>45</v>
      </c>
    </row>
    <row r="83" spans="1:8" ht="45" x14ac:dyDescent="0.25">
      <c r="A83" s="2" t="s">
        <v>187</v>
      </c>
      <c r="B83" s="2" t="s">
        <v>200</v>
      </c>
      <c r="C83" s="3" t="s">
        <v>211</v>
      </c>
      <c r="D83" s="2" t="s">
        <v>634</v>
      </c>
      <c r="E83" s="2" t="s">
        <v>635</v>
      </c>
      <c r="F83" s="2" t="s">
        <v>37</v>
      </c>
      <c r="G83" s="2" t="s">
        <v>17</v>
      </c>
      <c r="H83" s="2" t="s">
        <v>18</v>
      </c>
    </row>
    <row r="84" spans="1:8" ht="30" x14ac:dyDescent="0.25">
      <c r="A84" s="2" t="s">
        <v>187</v>
      </c>
      <c r="B84" s="2" t="s">
        <v>200</v>
      </c>
      <c r="C84" s="3" t="s">
        <v>208</v>
      </c>
      <c r="D84" s="2" t="s">
        <v>636</v>
      </c>
      <c r="E84" s="2" t="s">
        <v>472</v>
      </c>
      <c r="F84" s="2" t="s">
        <v>125</v>
      </c>
      <c r="G84" s="2" t="s">
        <v>17</v>
      </c>
      <c r="H84" s="2" t="s">
        <v>45</v>
      </c>
    </row>
    <row r="85" spans="1:8" ht="45" x14ac:dyDescent="0.25">
      <c r="A85" s="2" t="s">
        <v>187</v>
      </c>
      <c r="B85" s="2" t="s">
        <v>188</v>
      </c>
      <c r="C85" s="3" t="s">
        <v>637</v>
      </c>
      <c r="D85" s="2" t="s">
        <v>638</v>
      </c>
      <c r="E85" s="2" t="s">
        <v>195</v>
      </c>
      <c r="F85" s="2" t="s">
        <v>37</v>
      </c>
      <c r="G85" s="2" t="s">
        <v>17</v>
      </c>
      <c r="H85" s="2" t="s">
        <v>18</v>
      </c>
    </row>
    <row r="86" spans="1:8" ht="90" x14ac:dyDescent="0.25">
      <c r="A86" s="2" t="s">
        <v>187</v>
      </c>
      <c r="B86" s="2" t="s">
        <v>188</v>
      </c>
      <c r="C86" s="3" t="s">
        <v>639</v>
      </c>
      <c r="D86" s="2" t="s">
        <v>640</v>
      </c>
      <c r="E86" s="2" t="s">
        <v>195</v>
      </c>
      <c r="F86" s="2" t="s">
        <v>167</v>
      </c>
      <c r="G86" s="4" t="s">
        <v>641</v>
      </c>
      <c r="H86" s="2" t="s">
        <v>18</v>
      </c>
    </row>
    <row r="87" spans="1:8" ht="45" x14ac:dyDescent="0.25">
      <c r="A87" s="2" t="s">
        <v>187</v>
      </c>
      <c r="B87" s="2" t="s">
        <v>188</v>
      </c>
      <c r="C87" s="3" t="s">
        <v>193</v>
      </c>
      <c r="D87" s="2" t="s">
        <v>642</v>
      </c>
      <c r="E87" s="2" t="s">
        <v>195</v>
      </c>
      <c r="F87" s="2" t="s">
        <v>37</v>
      </c>
      <c r="G87" s="2" t="s">
        <v>17</v>
      </c>
      <c r="H87" s="2" t="s">
        <v>18</v>
      </c>
    </row>
    <row r="88" spans="1:8" ht="45" x14ac:dyDescent="0.25">
      <c r="A88" s="2" t="s">
        <v>187</v>
      </c>
      <c r="B88" s="2" t="s">
        <v>188</v>
      </c>
      <c r="C88" s="3" t="s">
        <v>643</v>
      </c>
      <c r="D88" s="2" t="s">
        <v>644</v>
      </c>
      <c r="E88" s="2" t="s">
        <v>195</v>
      </c>
      <c r="F88" s="2" t="s">
        <v>37</v>
      </c>
      <c r="G88" s="2" t="s">
        <v>17</v>
      </c>
      <c r="H88" s="2" t="s">
        <v>45</v>
      </c>
    </row>
    <row r="89" spans="1:8" ht="75" x14ac:dyDescent="0.25">
      <c r="A89" s="2" t="s">
        <v>187</v>
      </c>
      <c r="B89" s="2" t="s">
        <v>235</v>
      </c>
      <c r="C89" s="3" t="s">
        <v>645</v>
      </c>
      <c r="D89" s="2" t="s">
        <v>646</v>
      </c>
      <c r="E89" s="2" t="s">
        <v>238</v>
      </c>
      <c r="F89" s="2" t="s">
        <v>167</v>
      </c>
      <c r="G89" s="4" t="s">
        <v>647</v>
      </c>
      <c r="H89" s="2" t="s">
        <v>18</v>
      </c>
    </row>
    <row r="90" spans="1:8" ht="30" x14ac:dyDescent="0.25">
      <c r="A90" s="2" t="s">
        <v>187</v>
      </c>
      <c r="B90" s="2" t="s">
        <v>235</v>
      </c>
      <c r="C90" s="3" t="s">
        <v>648</v>
      </c>
      <c r="D90" s="2" t="s">
        <v>649</v>
      </c>
      <c r="E90" s="2" t="s">
        <v>238</v>
      </c>
      <c r="F90" s="2" t="s">
        <v>37</v>
      </c>
      <c r="G90" s="2" t="s">
        <v>17</v>
      </c>
      <c r="H90" s="2" t="s">
        <v>18</v>
      </c>
    </row>
    <row r="91" spans="1:8" ht="75" x14ac:dyDescent="0.25">
      <c r="A91" s="2" t="s">
        <v>187</v>
      </c>
      <c r="B91" s="2" t="s">
        <v>235</v>
      </c>
      <c r="C91" s="3" t="s">
        <v>650</v>
      </c>
      <c r="D91" s="2" t="s">
        <v>651</v>
      </c>
      <c r="E91" s="2" t="s">
        <v>652</v>
      </c>
      <c r="F91" s="2" t="s">
        <v>167</v>
      </c>
      <c r="G91" s="4" t="s">
        <v>653</v>
      </c>
      <c r="H91" s="2" t="s">
        <v>18</v>
      </c>
    </row>
    <row r="92" spans="1:8" ht="90" x14ac:dyDescent="0.25">
      <c r="A92" s="2" t="s">
        <v>187</v>
      </c>
      <c r="B92" s="2" t="s">
        <v>263</v>
      </c>
      <c r="C92" s="3" t="s">
        <v>264</v>
      </c>
      <c r="D92" s="2" t="s">
        <v>654</v>
      </c>
      <c r="E92" s="2" t="s">
        <v>655</v>
      </c>
      <c r="F92" s="2" t="s">
        <v>167</v>
      </c>
      <c r="G92" s="4" t="s">
        <v>656</v>
      </c>
      <c r="H92" s="2" t="s">
        <v>45</v>
      </c>
    </row>
    <row r="93" spans="1:8" ht="30" x14ac:dyDescent="0.25">
      <c r="A93" s="2" t="s">
        <v>187</v>
      </c>
      <c r="B93" s="2" t="s">
        <v>263</v>
      </c>
      <c r="C93" s="3" t="s">
        <v>657</v>
      </c>
      <c r="D93" s="2" t="s">
        <v>658</v>
      </c>
      <c r="E93" s="2" t="s">
        <v>270</v>
      </c>
      <c r="F93" s="2" t="s">
        <v>125</v>
      </c>
      <c r="G93" s="2" t="s">
        <v>17</v>
      </c>
      <c r="H93" s="2" t="s">
        <v>18</v>
      </c>
    </row>
    <row r="94" spans="1:8" ht="45" x14ac:dyDescent="0.25">
      <c r="A94" s="2" t="s">
        <v>187</v>
      </c>
      <c r="B94" s="2" t="s">
        <v>263</v>
      </c>
      <c r="C94" s="3" t="s">
        <v>659</v>
      </c>
      <c r="D94" s="2" t="s">
        <v>660</v>
      </c>
      <c r="E94" s="2" t="s">
        <v>270</v>
      </c>
      <c r="F94" s="2" t="s">
        <v>125</v>
      </c>
      <c r="G94" s="2" t="s">
        <v>17</v>
      </c>
      <c r="H94" s="2" t="s">
        <v>18</v>
      </c>
    </row>
    <row r="95" spans="1:8" ht="30" x14ac:dyDescent="0.25">
      <c r="A95" s="2" t="s">
        <v>187</v>
      </c>
      <c r="B95" s="2" t="s">
        <v>263</v>
      </c>
      <c r="C95" s="3" t="s">
        <v>661</v>
      </c>
      <c r="D95" s="2" t="s">
        <v>662</v>
      </c>
      <c r="E95" s="2" t="s">
        <v>270</v>
      </c>
      <c r="F95" s="2" t="s">
        <v>125</v>
      </c>
      <c r="G95" s="2" t="s">
        <v>17</v>
      </c>
      <c r="H95" s="2" t="s">
        <v>21</v>
      </c>
    </row>
    <row r="96" spans="1:8" ht="60" x14ac:dyDescent="0.25">
      <c r="A96" s="2" t="s">
        <v>187</v>
      </c>
      <c r="B96" s="2" t="s">
        <v>196</v>
      </c>
      <c r="C96" s="3" t="s">
        <v>197</v>
      </c>
      <c r="D96" s="2" t="s">
        <v>663</v>
      </c>
      <c r="E96" s="2" t="s">
        <v>199</v>
      </c>
      <c r="F96" s="2" t="s">
        <v>37</v>
      </c>
      <c r="G96" s="2" t="s">
        <v>17</v>
      </c>
      <c r="H96" s="2" t="s">
        <v>21</v>
      </c>
    </row>
    <row r="97" spans="1:8" ht="45" x14ac:dyDescent="0.25">
      <c r="A97" s="2" t="s">
        <v>271</v>
      </c>
      <c r="B97" s="2" t="s">
        <v>664</v>
      </c>
      <c r="C97" s="3" t="s">
        <v>665</v>
      </c>
      <c r="D97" s="2" t="s">
        <v>666</v>
      </c>
      <c r="E97" s="2" t="s">
        <v>24</v>
      </c>
      <c r="F97" s="2" t="s">
        <v>16</v>
      </c>
      <c r="G97" s="2" t="s">
        <v>17</v>
      </c>
      <c r="H97" s="2" t="s">
        <v>18</v>
      </c>
    </row>
    <row r="98" spans="1:8" ht="30" x14ac:dyDescent="0.25">
      <c r="A98" s="2" t="s">
        <v>271</v>
      </c>
      <c r="B98" s="2" t="s">
        <v>664</v>
      </c>
      <c r="C98" s="3" t="s">
        <v>667</v>
      </c>
      <c r="D98" s="2" t="s">
        <v>668</v>
      </c>
      <c r="E98" s="2" t="s">
        <v>24</v>
      </c>
      <c r="F98" s="2" t="s">
        <v>16</v>
      </c>
      <c r="G98" s="2" t="s">
        <v>17</v>
      </c>
      <c r="H98" s="2" t="s">
        <v>18</v>
      </c>
    </row>
    <row r="99" spans="1:8" ht="45" x14ac:dyDescent="0.25">
      <c r="A99" s="2" t="s">
        <v>271</v>
      </c>
      <c r="B99" s="2" t="s">
        <v>669</v>
      </c>
      <c r="C99" s="3" t="s">
        <v>275</v>
      </c>
      <c r="D99" s="2" t="s">
        <v>670</v>
      </c>
      <c r="E99" s="2" t="s">
        <v>671</v>
      </c>
      <c r="F99" s="2" t="s">
        <v>16</v>
      </c>
      <c r="G99" s="2" t="s">
        <v>17</v>
      </c>
      <c r="H99" s="2" t="s">
        <v>18</v>
      </c>
    </row>
    <row r="100" spans="1:8" ht="30" x14ac:dyDescent="0.25">
      <c r="A100" s="2" t="s">
        <v>271</v>
      </c>
      <c r="B100" s="2" t="s">
        <v>282</v>
      </c>
      <c r="C100" s="3" t="s">
        <v>283</v>
      </c>
      <c r="D100" s="2" t="s">
        <v>672</v>
      </c>
      <c r="E100" s="2" t="s">
        <v>15</v>
      </c>
      <c r="F100" s="2" t="s">
        <v>16</v>
      </c>
      <c r="G100" s="2" t="s">
        <v>17</v>
      </c>
      <c r="H100" s="2" t="s">
        <v>21</v>
      </c>
    </row>
    <row r="101" spans="1:8" ht="30" x14ac:dyDescent="0.25">
      <c r="A101" s="2" t="s">
        <v>271</v>
      </c>
      <c r="B101" s="2" t="s">
        <v>282</v>
      </c>
      <c r="C101" s="3" t="s">
        <v>285</v>
      </c>
      <c r="D101" s="2" t="s">
        <v>673</v>
      </c>
      <c r="E101" s="2" t="s">
        <v>24</v>
      </c>
      <c r="F101" s="2" t="s">
        <v>16</v>
      </c>
      <c r="G101" s="2" t="s">
        <v>17</v>
      </c>
      <c r="H101" s="2" t="s">
        <v>21</v>
      </c>
    </row>
    <row r="102" spans="1:8" ht="30" x14ac:dyDescent="0.25">
      <c r="A102" s="2" t="s">
        <v>271</v>
      </c>
      <c r="B102" s="2" t="s">
        <v>282</v>
      </c>
      <c r="C102" s="3" t="s">
        <v>287</v>
      </c>
      <c r="D102" s="2" t="s">
        <v>674</v>
      </c>
      <c r="E102" s="2" t="s">
        <v>24</v>
      </c>
      <c r="F102" s="2" t="s">
        <v>71</v>
      </c>
      <c r="G102" s="4" t="s">
        <v>288</v>
      </c>
      <c r="H102" s="2" t="s">
        <v>18</v>
      </c>
    </row>
    <row r="103" spans="1:8" ht="60" x14ac:dyDescent="0.25">
      <c r="A103" s="2" t="s">
        <v>271</v>
      </c>
      <c r="B103" s="2" t="s">
        <v>306</v>
      </c>
      <c r="C103" s="3" t="s">
        <v>675</v>
      </c>
      <c r="D103" s="2" t="s">
        <v>676</v>
      </c>
      <c r="E103" s="2" t="s">
        <v>24</v>
      </c>
      <c r="F103" s="2" t="s">
        <v>71</v>
      </c>
      <c r="G103" s="4" t="s">
        <v>281</v>
      </c>
      <c r="H103" s="2" t="s">
        <v>45</v>
      </c>
    </row>
    <row r="104" spans="1:8" ht="60" x14ac:dyDescent="0.25">
      <c r="A104" s="2" t="s">
        <v>271</v>
      </c>
      <c r="B104" s="2" t="s">
        <v>306</v>
      </c>
      <c r="C104" s="3" t="s">
        <v>677</v>
      </c>
      <c r="D104" s="2" t="s">
        <v>678</v>
      </c>
      <c r="E104" s="2" t="s">
        <v>24</v>
      </c>
      <c r="F104" s="2" t="s">
        <v>71</v>
      </c>
      <c r="G104" s="4" t="s">
        <v>281</v>
      </c>
      <c r="H104" s="2" t="s">
        <v>18</v>
      </c>
    </row>
    <row r="105" spans="1:8" ht="60" x14ac:dyDescent="0.25">
      <c r="A105" s="2" t="s">
        <v>271</v>
      </c>
      <c r="B105" s="2" t="s">
        <v>306</v>
      </c>
      <c r="C105" s="3" t="s">
        <v>679</v>
      </c>
      <c r="D105" s="2" t="s">
        <v>680</v>
      </c>
      <c r="E105" s="2" t="s">
        <v>24</v>
      </c>
      <c r="F105" s="2" t="s">
        <v>71</v>
      </c>
      <c r="G105" s="4" t="s">
        <v>281</v>
      </c>
      <c r="H105" s="2" t="s">
        <v>18</v>
      </c>
    </row>
    <row r="106" spans="1:8" ht="30" x14ac:dyDescent="0.25">
      <c r="A106" s="2" t="s">
        <v>289</v>
      </c>
      <c r="B106" s="2" t="s">
        <v>311</v>
      </c>
      <c r="C106" s="3" t="s">
        <v>681</v>
      </c>
      <c r="D106" s="2" t="s">
        <v>682</v>
      </c>
      <c r="E106" s="2" t="s">
        <v>186</v>
      </c>
      <c r="F106" s="2" t="s">
        <v>125</v>
      </c>
      <c r="G106" s="2" t="s">
        <v>17</v>
      </c>
      <c r="H106" s="2" t="s">
        <v>45</v>
      </c>
    </row>
    <row r="107" spans="1:8" ht="45" x14ac:dyDescent="0.25">
      <c r="A107" s="2" t="s">
        <v>289</v>
      </c>
      <c r="B107" s="2" t="s">
        <v>311</v>
      </c>
      <c r="C107" s="3" t="s">
        <v>683</v>
      </c>
      <c r="D107" s="2" t="s">
        <v>684</v>
      </c>
      <c r="E107" s="2" t="s">
        <v>186</v>
      </c>
      <c r="F107" s="2" t="s">
        <v>125</v>
      </c>
      <c r="G107" s="2" t="s">
        <v>17</v>
      </c>
      <c r="H107" s="2" t="s">
        <v>45</v>
      </c>
    </row>
    <row r="108" spans="1:8" ht="30" x14ac:dyDescent="0.25">
      <c r="A108" s="2" t="s">
        <v>289</v>
      </c>
      <c r="B108" s="2" t="s">
        <v>311</v>
      </c>
      <c r="C108" s="3" t="s">
        <v>685</v>
      </c>
      <c r="D108" s="2" t="s">
        <v>567</v>
      </c>
      <c r="E108" s="2" t="s">
        <v>186</v>
      </c>
      <c r="F108" s="2" t="s">
        <v>125</v>
      </c>
      <c r="G108" s="2" t="s">
        <v>17</v>
      </c>
      <c r="H108" s="2" t="s">
        <v>18</v>
      </c>
    </row>
    <row r="109" spans="1:8" ht="45" x14ac:dyDescent="0.25">
      <c r="A109" s="2" t="s">
        <v>289</v>
      </c>
      <c r="B109" s="2" t="s">
        <v>290</v>
      </c>
      <c r="C109" s="3" t="s">
        <v>291</v>
      </c>
      <c r="D109" s="2" t="s">
        <v>686</v>
      </c>
      <c r="E109" s="2" t="s">
        <v>15</v>
      </c>
      <c r="F109" s="2" t="s">
        <v>293</v>
      </c>
      <c r="G109" s="4" t="s">
        <v>294</v>
      </c>
      <c r="H109" s="2" t="s">
        <v>18</v>
      </c>
    </row>
    <row r="110" spans="1:8" ht="30" x14ac:dyDescent="0.25">
      <c r="A110" s="2" t="s">
        <v>289</v>
      </c>
      <c r="B110" s="2" t="s">
        <v>298</v>
      </c>
      <c r="C110" s="3" t="s">
        <v>314</v>
      </c>
      <c r="D110" s="2" t="s">
        <v>687</v>
      </c>
      <c r="E110" s="2" t="s">
        <v>688</v>
      </c>
      <c r="F110" s="2" t="s">
        <v>125</v>
      </c>
      <c r="G110" s="2" t="s">
        <v>17</v>
      </c>
      <c r="H110" s="2" t="s">
        <v>45</v>
      </c>
    </row>
    <row r="111" spans="1:8" ht="45" x14ac:dyDescent="0.25">
      <c r="A111" s="2" t="s">
        <v>289</v>
      </c>
      <c r="B111" s="2" t="s">
        <v>298</v>
      </c>
      <c r="C111" s="3" t="s">
        <v>299</v>
      </c>
      <c r="D111" s="2" t="s">
        <v>689</v>
      </c>
      <c r="E111" s="2" t="s">
        <v>690</v>
      </c>
      <c r="F111" s="2" t="s">
        <v>176</v>
      </c>
      <c r="G111" s="4" t="s">
        <v>301</v>
      </c>
      <c r="H111" s="2" t="s">
        <v>18</v>
      </c>
    </row>
    <row r="112" spans="1:8" ht="45" x14ac:dyDescent="0.25">
      <c r="A112" s="2" t="s">
        <v>289</v>
      </c>
      <c r="B112" s="2" t="s">
        <v>302</v>
      </c>
      <c r="C112" s="3" t="s">
        <v>303</v>
      </c>
      <c r="D112" s="2" t="s">
        <v>691</v>
      </c>
      <c r="E112" s="2" t="s">
        <v>15</v>
      </c>
      <c r="F112" s="2" t="s">
        <v>293</v>
      </c>
      <c r="G112" s="4" t="s">
        <v>305</v>
      </c>
      <c r="H112" s="2" t="s">
        <v>18</v>
      </c>
    </row>
    <row r="113" spans="1:8" ht="75" x14ac:dyDescent="0.25">
      <c r="A113" s="2" t="s">
        <v>289</v>
      </c>
      <c r="B113" s="2" t="s">
        <v>306</v>
      </c>
      <c r="C113" s="3" t="s">
        <v>307</v>
      </c>
      <c r="D113" s="2" t="s">
        <v>692</v>
      </c>
      <c r="E113" s="2" t="s">
        <v>693</v>
      </c>
      <c r="F113" s="2" t="s">
        <v>71</v>
      </c>
      <c r="G113" s="2" t="s">
        <v>310</v>
      </c>
      <c r="H113" s="2" t="s">
        <v>18</v>
      </c>
    </row>
    <row r="114" spans="1:8" ht="30" x14ac:dyDescent="0.25">
      <c r="A114" s="2" t="s">
        <v>289</v>
      </c>
      <c r="B114" s="2" t="s">
        <v>317</v>
      </c>
      <c r="C114" s="3" t="s">
        <v>318</v>
      </c>
      <c r="D114" s="2" t="s">
        <v>694</v>
      </c>
      <c r="E114" s="2" t="s">
        <v>695</v>
      </c>
      <c r="F114" s="2" t="s">
        <v>125</v>
      </c>
      <c r="G114" s="2" t="s">
        <v>17</v>
      </c>
      <c r="H114" s="2" t="s">
        <v>18</v>
      </c>
    </row>
    <row r="115" spans="1:8" ht="30" x14ac:dyDescent="0.25">
      <c r="A115" s="2" t="s">
        <v>289</v>
      </c>
      <c r="B115" s="2" t="s">
        <v>317</v>
      </c>
      <c r="C115" s="3" t="s">
        <v>321</v>
      </c>
      <c r="D115" s="2" t="s">
        <v>696</v>
      </c>
      <c r="E115" s="2" t="s">
        <v>270</v>
      </c>
      <c r="F115" s="2" t="s">
        <v>125</v>
      </c>
      <c r="G115" s="2" t="s">
        <v>17</v>
      </c>
      <c r="H115" s="2" t="s">
        <v>18</v>
      </c>
    </row>
    <row r="116" spans="1:8" ht="45" x14ac:dyDescent="0.25">
      <c r="A116" s="2" t="s">
        <v>289</v>
      </c>
      <c r="B116" s="2" t="s">
        <v>298</v>
      </c>
      <c r="C116" s="3" t="s">
        <v>323</v>
      </c>
      <c r="D116" s="2" t="s">
        <v>697</v>
      </c>
      <c r="E116" s="2" t="s">
        <v>698</v>
      </c>
      <c r="F116" s="2" t="s">
        <v>125</v>
      </c>
      <c r="G116" s="2" t="s">
        <v>17</v>
      </c>
      <c r="H116" s="2" t="s">
        <v>45</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abb99fc9a48c7a251434465201697796">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d5c101f0e739d89bf88b83005715ab8d"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7CF69-5D19-450C-935B-68EC43A8DA31}">
  <ds:schemaRefs>
    <ds:schemaRef ds:uri="139fca70-673f-44e1-94c2-b523bb9c108c"/>
    <ds:schemaRef ds:uri="http://schemas.openxmlformats.org/package/2006/metadata/core-properties"/>
    <ds:schemaRef ds:uri="http://purl.org/dc/elements/1.1/"/>
    <ds:schemaRef ds:uri="http://schemas.microsoft.com/office/2006/documentManagement/types"/>
    <ds:schemaRef ds:uri="http://schemas.microsoft.com/office/2006/metadata/properties"/>
    <ds:schemaRef ds:uri="http://purl.org/dc/terms/"/>
    <ds:schemaRef ds:uri="http://purl.org/dc/dcmitype/"/>
    <ds:schemaRef ds:uri="http://schemas.microsoft.com/office/infopath/2007/PartnerControls"/>
    <ds:schemaRef ds:uri="7eaf932d-7370-48c5-9459-ae540daf9d7d"/>
    <ds:schemaRef ds:uri="http://www.w3.org/XML/1998/namespace"/>
  </ds:schemaRefs>
</ds:datastoreItem>
</file>

<file path=customXml/itemProps2.xml><?xml version="1.0" encoding="utf-8"?>
<ds:datastoreItem xmlns:ds="http://schemas.openxmlformats.org/officeDocument/2006/customXml" ds:itemID="{82D5B6C7-9BF1-46B8-8CAF-B305B78CEC5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B2BB8B-BA4E-4835-AC34-431A62162A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Process Hierarchy</vt:lpstr>
      <vt:lpstr>IT Release 1 Analysis</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2026-02-17T13:54:59Z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