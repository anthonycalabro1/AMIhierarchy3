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eyus-my.sharepoint.com/personal/tony_calabro_ey_com/Documents/Desktop/Cursor/Hierarchy 2/"/>
    </mc:Choice>
  </mc:AlternateContent>
  <xr:revisionPtr revIDLastSave="1" documentId="8_{A154DD94-45E9-4F63-B76F-0ABDCC218A26}" xr6:coauthVersionLast="47" xr6:coauthVersionMax="47" xr10:uidLastSave="{8E38A6D7-ADCA-4E3B-95EB-09DDB1F5E43A}"/>
  <bookViews>
    <workbookView xWindow="-120" yWindow="-120" windowWidth="29040" windowHeight="15720" xr2:uid="{C5CF7D8D-18C1-4DA6-BBC5-CBC3C1BDFBAD}"/>
  </bookViews>
  <sheets>
    <sheet name="Process Hierarchy" sheetId="5" r:id="rId1"/>
    <sheet name="Breakdown" sheetId="4" r:id="rId2"/>
    <sheet name="Not Applicable" sheetId="2" r:id="rId3"/>
    <sheet name="Process Hier (ARCHIVE)" sheetId="1" r:id="rId4"/>
  </sheets>
  <definedNames>
    <definedName name="_xlnm._FilterDatabase" localSheetId="3" hidden="1">'Process Hier (ARCHIVE)'!$A$1:$H$118</definedName>
    <definedName name="_xlnm._FilterDatabase" localSheetId="0" hidden="1">'Process Hierarchy'!$A$1:$H$107</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4" l="1"/>
  <c r="J9" i="4"/>
  <c r="J8" i="4"/>
  <c r="K10" i="4"/>
  <c r="J10" i="4"/>
  <c r="K11" i="4" l="1"/>
  <c r="J1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tc={FEEF030B-DA5E-4692-A97B-6F20D52A386C}</author>
    <author>tc={00B994E0-7A92-4D97-86E9-8E355BFE690C}</author>
    <author>tc={FFDB8243-F3E1-4D27-93FB-35D7FDAECC48}</author>
    <author>tc={A92942D8-8D43-4290-9F76-2E2E72913B68}</author>
    <author>tc={75C3F44E-861C-4687-B291-4BEDC98527EE}</author>
  </authors>
  <commentList>
    <comment ref="C23" authorId="0" shapeId="0" xr:uid="{FEEF030B-DA5E-4692-A97B-6F20D52A386C}">
      <text>
        <t>[Threaded comment]
Your version of Excel allows you to read this threaded comment; however, any edits to it will get removed if the file is opened in a newer version of Excel. Learn more: https://go.microsoft.com/fwlink/?linkid=870924
Comment:
    How impacted by AMI? Seems like a legacy process</t>
      </text>
    </comment>
    <comment ref="C24" authorId="1" shapeId="0" xr:uid="{00B994E0-7A92-4D97-86E9-8E355BFE690C}">
      <text>
        <t>[Threaded comment]
Your version of Excel allows you to read this threaded comment; however, any edits to it will get removed if the file is opened in a newer version of Excel. Learn more: https://go.microsoft.com/fwlink/?linkid=870924
Comment:
    How is this an AMI process?  This doesn’t seem to be something driven AMI</t>
      </text>
    </comment>
    <comment ref="C26" authorId="2" shapeId="0" xr:uid="{FFDB8243-F3E1-4D27-93FB-35D7FDAECC48}">
      <text>
        <t>[Threaded comment]
Your version of Excel allows you to read this threaded comment; however, any edits to it will get removed if the file is opened in a newer version of Excel. Learn more: https://go.microsoft.com/fwlink/?linkid=870924
Comment:
    Technical process not business process</t>
      </text>
    </comment>
    <comment ref="C27" authorId="3" shapeId="0" xr:uid="{A92942D8-8D43-4290-9F76-2E2E72913B68}">
      <text>
        <t>[Threaded comment]
Your version of Excel allows you to read this threaded comment; however, any edits to it will get removed if the file is opened in a newer version of Excel. Learn more: https://go.microsoft.com/fwlink/?linkid=870924
Comment:
    This doesn’t feel like a capability of the production system</t>
      </text>
    </comment>
    <comment ref="C28" authorId="4" shapeId="0" xr:uid="{75C3F44E-861C-4687-B291-4BEDC98527EE}">
      <text>
        <t>[Threaded comment]
Your version of Excel allows you to read this threaded comment; however, any edits to it will get removed if the file is opened in a newer version of Excel. Learn more: https://go.microsoft.com/fwlink/?linkid=870924
Comment:
    This doesn’t feel like a capabilities of the production system. Not sure who was asking for this.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tc={9C7F1D5E-E9EC-4228-996C-3A3B1AEAB5A8}</author>
  </authors>
  <commentList>
    <comment ref="C29" authorId="0" shapeId="0" xr:uid="{9C7F1D5E-E9EC-4228-996C-3A3B1AEAB5A8}">
      <text>
        <t>[Threaded comment]
Your version of Excel allows you to read this threaded comment; however, any edits to it will get removed if the file is opened in a newer version of Excel. Learn more: https://go.microsoft.com/fwlink/?linkid=870924
Comment:
    Could this be combined with calculate bill?</t>
      </text>
    </comment>
  </commentList>
</comments>
</file>

<file path=xl/sharedStrings.xml><?xml version="1.0" encoding="utf-8"?>
<sst xmlns="http://schemas.openxmlformats.org/spreadsheetml/2006/main" count="2207" uniqueCount="713">
  <si>
    <t>L1 Process Name</t>
  </si>
  <si>
    <t>L2 Process Name</t>
  </si>
  <si>
    <t>L3 Process Name</t>
  </si>
  <si>
    <t>L3 Process Objective</t>
  </si>
  <si>
    <t>Use Case Mapping</t>
  </si>
  <si>
    <t>IT Release</t>
  </si>
  <si>
    <t>Retouch Rationale</t>
  </si>
  <si>
    <t>BRD Size</t>
  </si>
  <si>
    <t>Systems Involved</t>
  </si>
  <si>
    <t xml:space="preserve">Stakeholders Involved </t>
  </si>
  <si>
    <t xml:space="preserve">Topic Grouping </t>
  </si>
  <si>
    <t xml:space="preserve">NG Reference </t>
  </si>
  <si>
    <t>Meter Asset Management</t>
  </si>
  <si>
    <t>Procure and manage metering assets</t>
  </si>
  <si>
    <t>Plan and Procure Metering Assets</t>
  </si>
  <si>
    <t>Analyze deployment schedules, replacement rates, and network growth to forecast device demand, and execute necessary procurement actions, including purchase order issuance and vendor coordination, to ensure adequate inventory supply.</t>
  </si>
  <si>
    <t>Foundational – Not Directly Mapped to SCE Use Case</t>
  </si>
  <si>
    <t>IT Release 1</t>
  </si>
  <si>
    <t>N/A</t>
  </si>
  <si>
    <t>Medium</t>
  </si>
  <si>
    <t>Receive and inspect delivered assets</t>
  </si>
  <si>
    <t>Receive hardware shipments at utility warehouses, including verifying vendor packing lists against purchase orders in the Enterprise Asset Management (EAM) system, conducting physical inspections and statistical sample testing for conformance to technical specifications, and managing the disposition of failed or damaged assets through quarantine and vendor return workflows.</t>
  </si>
  <si>
    <t>Small</t>
  </si>
  <si>
    <t>Register devices in asset and head-end systems</t>
  </si>
  <si>
    <t>Onboard of new metering and network assets, involving the ingestion of vendor shipment files to create serialized asset records in the EAM, and the subsequent synchronization of this master data to the Head-End System (HES) and Meter Data Management System (MDMS) to establish initial device state and cross-system linkages, including resolving data loading errors or identifier mismatches.</t>
  </si>
  <si>
    <t>Use Case 14 – AMI 2.0 Interoperability</t>
  </si>
  <si>
    <t>Manage inventory and warehousing</t>
  </si>
  <si>
    <t>Track warehouse inventory and movements</t>
  </si>
  <si>
    <t>Manage the physical location and status of assets within the warehouse (e.g., staging, quarantine) and ensures that any changes in asset condition or availability are automatically propagated to the Head-End System and other integrated IT platforms. This ensures only available, healthy assets are released for deployment.</t>
  </si>
  <si>
    <t>Reconcile field inventory and system counts</t>
  </si>
  <si>
    <t>Perform comprehensive periodic audits to balance total asset quantities across utility warehouses, vendor (MIV) storage, and deployed field locations against central system records. This process identifies lost, stolen, or unaccounted-for assets that are not captured by individual installation transactions.</t>
  </si>
  <si>
    <t>Manage returns and warranty</t>
  </si>
  <si>
    <t>Manage Vendor Warranty Claims and Returns</t>
  </si>
  <si>
    <t>Manage the commercial lifecycle of metering devices under warranty, including validating warranty status, executing return merchandise authorization (RMA) shipments to the vendor, and reconciling financial credits or replacement asset receipts.</t>
  </si>
  <si>
    <t>Manage Meter Refurbishment and Testing Cycles</t>
  </si>
  <si>
    <t>Manage the operational workflow for devices requiring testing, cleaning, or repair (internal or third-party) to determine if they can be refurbished and returned to available inventory stock or must be scrapped.</t>
  </si>
  <si>
    <t>Manage returns, warranty, and refurbishment (network devices)</t>
  </si>
  <si>
    <t>Manage end-to-end lifecycle of defective or removed network infrastructure devices, including validating warranty status against vendor contracts, processing Return Merchandise Authorization (RMA) shipments via the EAM, managing internal or third-party refurbishment testing loops, and reconciling inventory records to reflect scrapped, returned, or restocked status.</t>
  </si>
  <si>
    <t>IT Release 2</t>
  </si>
  <si>
    <t>Manage meter sample testing and acceptance</t>
  </si>
  <si>
    <t>Perform New Meter Lot Acceptance Testing</t>
  </si>
  <si>
    <t>Define and execute statistical sampling and testing protocols for newly received meter shipments, driving requirements for automated workflows to manage test selection logic, record results against asset records, and enforce pass/fail criteria before releasing lots into inventory.</t>
  </si>
  <si>
    <t>Mass Meter Deployment</t>
  </si>
  <si>
    <t>Manage MIV synchronization and file handling</t>
  </si>
  <si>
    <t>Manage MIV Data Synchronization &amp; Exception Handling</t>
  </si>
  <si>
    <t>Maintain MIV deployment job plans and ensure the accurate, bi-directional synchronization of deployment data between MIV and enterprise systems, including the detection and resolution of any file transfer or interface exceptions.</t>
  </si>
  <si>
    <t>Large</t>
  </si>
  <si>
    <t>Reconcile installation records between systems</t>
  </si>
  <si>
    <t>Automated and manual data reconciliation activities required to ensure field installation data remains consistent across the core AMI landscape, specifically identifying, investigating, and resolving data discrepancies between the Meter Installation Vendor (MIV) system, EAM, CIS, MDMS, and HES regarding device status, premise association, and connectivity.</t>
  </si>
  <si>
    <t>Manage customer communication during deployment</t>
  </si>
  <si>
    <t>Notify customers of installation schedules</t>
  </si>
  <si>
    <t>Generate and deliver of pre-deployment notifications to customers based on the MIV's rolling deployment schedule, utilizing customer data from CIS to determine preferred channels (e.g., email, mail, text) and language requirements, conveying critical information regarding access needs and temporary outages, and managing undeliverable notifications.</t>
  </si>
  <si>
    <t>Use Case 3 – Improve Customer Experience</t>
  </si>
  <si>
    <t>Coordinate installation and commissioning</t>
  </si>
  <si>
    <t>Assign and execute MIV meter deployment work orders</t>
  </si>
  <si>
    <t>Assign and executie installation work orders to the Meter Installation Vendor (MIV), from the initial grouping of premises based on deployment route planning to the digital dispatch of orders to MIV field devices, the physical execution of the meter exchange, and the field capture of completion data (including photos and GPS) or "Unable to Complete" (UTC) exception codes.</t>
  </si>
  <si>
    <t>Assign and execute utility-owned deployment work orders</t>
  </si>
  <si>
    <t>Assign and execute installation work orders executed by internal utility field crews (often for complex metering or hard-to-access sites), involving the creation and dispatch of orders through the utility's Mobile Workforce Management (MWM) system, physical field execution, and the capture and synchronization of completion data back to EAM and CIS.</t>
  </si>
  <si>
    <t>Close MIV work orders and update dashboards</t>
  </si>
  <si>
    <t>Ingest and validate completed work order files received daily from the MIV system, update premise and service status in CIS and EAM, trigger downstream provisioning processes, and feed deployment status dashboards while flagging data validation errors for back-office resolution.</t>
  </si>
  <si>
    <t>Communicate completion and follow-up</t>
  </si>
  <si>
    <t>Trigger post-installation communications once a meter exchange is successfully validated in utility systems (CIS/MDMS), confirming service restoration to the customer via their preferred channel, providing initial AMI educational materials, and managing follow-up surveys or inquiries related to the installation experience.</t>
  </si>
  <si>
    <t>Manage field exceptions and issue resolution</t>
  </si>
  <si>
    <t>Resolve Physical Field Installation Exceptions (Unable to Complete)</t>
  </si>
  <si>
    <t>Manage the resolution workflow for physical barriers preventing MIV installation, such as access issues (e.g., locked gates, hazards), unsafe meter sockets, or customer refusals, requiring coordination with field ops or customer service.</t>
  </si>
  <si>
    <t>Resolve Deployment Data and System Exceptions</t>
  </si>
  <si>
    <t>Investigate and resolve back-office data exceptions where a physical installation occurred, but system records fail to synchronize due to data errors (e.g., serial number mismatches, incorrect premise association) between MIV, Asset Management, and CIS.</t>
  </si>
  <si>
    <t>Manage refurbishment and end-of-life disposal (MIV)</t>
  </si>
  <si>
    <t>Track activities for legacy meters removed by the MIV, including the physical reverse logistics from field to warehouse, sorting assets for potential testing/refurbishment versus scrapping, and ensuring vendor compliance with environmental regulations for disposal, all while maintaining asset tracking capability within the EAM until final disposition.</t>
  </si>
  <si>
    <t>Field Operations</t>
  </si>
  <si>
    <t>Perform provisioning and connectivity validation</t>
  </si>
  <si>
    <t>Discover and register the new meter onto the RF mesh network (via the HES)  immediately following physical installation, where the Head-End System (HES) attempts to; validating its security credentials and establishing bidirectional communications, and flagging non-communicating devices for immediate network troubleshooting</t>
  </si>
  <si>
    <t>IT Release 1 (retouched in IT Release 2)</t>
  </si>
  <si>
    <t>In Release 1 (DI Hub Light), provisioning is likely basic (Meter + Comms). In Release 2 (Permanent DI Hub), the commissioning process must be retouched to include the verification of Edge Applications during the install (e.g., "Did the EV app download successfully?")</t>
  </si>
  <si>
    <t>Perform commissioning and billing readiness checks</t>
  </si>
  <si>
    <t>Transition a newly installed meter from "installed" status to "billing active," ensuring that interval data is successfully flowing from the HES to the MDMS, that initial VEE rules are applied without critical errors, and that the MDMS and CIS are aligned on the device configuration to enable accurate future billing.</t>
  </si>
  <si>
    <t>Manage meter field operations</t>
  </si>
  <si>
    <t>Perform steady-state meter installation</t>
  </si>
  <si>
    <t>Perform (BAU) meter installations (e.g., new construction, reactive replacements), initiated by CIS or EAM requests, flowing through Mobile Workforce Management (MWM) for utility crew dispatch, field execution, and the subsequent back-office provisioning and system synchronization steps.</t>
  </si>
  <si>
    <t>Perform meter exchange</t>
  </si>
  <si>
    <t>Replace AMI 2.0 meter for maintenance, testing, or upgrade purposes.</t>
  </si>
  <si>
    <t>Conduct AMI Network &amp; Communication Field Investigations</t>
  </si>
  <si>
    <t>Dispatch and execute field investigations specifically tasked with diagnosing and resolving persistent meter communication failures, utilizing RF diagnostic tools and coordinating with head-end system operators.</t>
  </si>
  <si>
    <t>Use Case 10 – Performance and Health of Distribution System Assets</t>
  </si>
  <si>
    <t>Conduct Field Revenue Protection &amp; Tampering Investigations</t>
  </si>
  <si>
    <t>Dispatch specialized field personnel to investigate physical sites flagged for potential energy diversion, tampering, or abnormal consumption patterns, requiring specific evidence gathering and safety protocols.</t>
  </si>
  <si>
    <t>Use Case 4 – Revenue Protection</t>
  </si>
  <si>
    <t>Perform meter removal and decommissioning</t>
  </si>
  <si>
    <t>Physically remove metering assets from the field (due to service retirement or defect), capture of a certified final register read for billing closure in CIS, change the asset status in EAM to "removed," and de-provision the device credentials in the HES to prevent unauthorized future network access.</t>
  </si>
  <si>
    <t>Manage remote connect/disconnect operations</t>
  </si>
  <si>
    <t>Perform remote disconnect / reconnect for move-out</t>
  </si>
  <si>
    <t>Perform automated workflow triggered by a customer move-out request in CIS, orchestrating a remote disconnect command via the MDMS and HES to the meter's internal switch, validating successful state change via HES feedback, and updating service status in CIS, including handling communication failures that require a manual field truck roll.</t>
  </si>
  <si>
    <t>Perform remote disconnect / reconnect for move-in</t>
  </si>
  <si>
    <t>Peform automated workflow triggered by a new customer move-in request in CIS, orchestrating a remote connect command via the MDMS and HES to restore service, validating voltage presence at the meter, and updating account status in CIS, including managing exceptions where MDMS safety checks prevent remote reconnection.</t>
  </si>
  <si>
    <t>Perform remote disconnect for non-payment</t>
  </si>
  <si>
    <t>Conduct workflow initiated by the CIS collections module for delinquent accounts, validating eligibility for remote disconnection, executing the command via MDMS and HES, and updating the account credit status, while rigorously managing exceptions for critical care customers or medical baseline accounts identified in CIS.</t>
  </si>
  <si>
    <t>Perform remote reconnect after payment</t>
  </si>
  <si>
    <t>Conduct near-real-time workflow triggered by payment receipt in CIS, immediately issuing a remote reconnect command via MDMS and HES to restore service, verifying successful reconnection through meter feedback, and notifying the customer, including handling technical failures that delay restoration.</t>
  </si>
  <si>
    <t>Manage network device lifecycle</t>
  </si>
  <si>
    <t>Install and maintain network access points</t>
  </si>
  <si>
    <t>Manage installation of AMI field network infrastructure (e.g., Take-out Points, Relays), involving site acquisition planning, work order generation in EAM for installation or maintenance, field execution by telecommunications crews, and the technical commissioning of the devices into the HES network management layer.</t>
  </si>
  <si>
    <t>Remove network access points and decommission interfaces</t>
  </si>
  <si>
    <t>Removal and decommission network infrastructure devices including required field work orders from EAM, updates topology maps in the HES to reflect the removal, and updates to asset status in EAM to ensure accurate network inventory.</t>
  </si>
  <si>
    <t>Meter Data Operations</t>
  </si>
  <si>
    <t>Manage AMI data collection and validation</t>
  </si>
  <si>
    <t>Execute AMI Data Acquisition &amp; Initial Validation (HES)</t>
  </si>
  <si>
    <t>Manage the end-to-end acquisition of interval, voltage, and event data from Head-End Systems, including initial intake validation, automated resolution of transmission gaps or anomalies, and the final persistence of validated data into the MDMS and analytics repositories for downstream use.</t>
  </si>
  <si>
    <t>Use Case 1 – Meter-to-Cash
Use Case 10 – Performance and Health of Distribution System Assets
Use Case 14 – AMI 2.0 Interoperability</t>
  </si>
  <si>
    <t>In Release 1, validation rules focus on 15/60-minute kWh data for billing completeness. In Release 2, the scope expands to high-frequency Grid Management data (Voltage, Power Quality), which requires different validation logic (e.g., voltage limits vs. usage limits) not present in R1.  Similar to above, resolving gaps in billing data (R1) is mandatory for revenue; resolving gaps in Grid data (R2) follows different business rules (e.g., interpolating voltage for planning vs. estimating usage for billing).</t>
  </si>
  <si>
    <t>Execute VEE and Exception Management</t>
  </si>
  <si>
    <t>Apply automated Validation, Estimation, and Editing (VEE) rules to interval data to ensure billing completeness and accuracy, and manually investigate and resolve any complex data exceptions that fail automated processing.</t>
  </si>
  <si>
    <t>Use Case 1 – Meter-to-Cash</t>
  </si>
  <si>
    <t>Release 1 VEE applies to Billing Determinants (Revenue). Release 2 introduces VEE for non-billing channels (e.g., Transformer Loading profiles), requiring a retouch to configure estimation rules for operational data.</t>
  </si>
  <si>
    <t>Configure and Tune VEE Rules</t>
  </si>
  <si>
    <t>Define, configure, test, and deploy automated VEE rules within the MDMS, requiring system capabilities for user-configurable rule editors (non-code based), rule version control, and simulation "sandbox" environments to tune thresholds and gauge impact against historical data before production deployment.</t>
  </si>
  <si>
    <t>Manage Long-Term Data Archival and Retrieval</t>
  </si>
  <si>
    <t>Implement and enforce data retention policies (e.g., 40+ months) through automated system configurations that tier data storage based on age (Information Lifecycle Management), and manage on-demand retrieval requests requiring accessible user interfaces and defined system performance SLAs for restoring archived data.</t>
  </si>
  <si>
    <t>Detect Unassigned Interval Usage</t>
  </si>
  <si>
    <t>Continuously monitor interval data from meters with a "disconnected" service status in CIS, identifying instances where voltage or load is detected despite the expected open switch state, and generating investigation cases for Revenue Protection to address potential tampering or switch failures.</t>
  </si>
  <si>
    <t>Release 1 relies on deterministic flags (e.g., Reverse Rotation). Release 2 (with Permanent DI Hub/Analytics) introduces AI/ML-driven detection, requiring a retouch of the detection logic and investigation workflow.</t>
  </si>
  <si>
    <t>Customer Engagement &amp; Billing</t>
  </si>
  <si>
    <t>Manage meter-to-cash operations</t>
  </si>
  <si>
    <t>Resolve AMI billing data mismatches</t>
  </si>
  <si>
    <t>Establish a traceable audit trail verifying that 100% of validated billable determinants are successfully transmitted from the MDMS to the CIS prior to bill calculation. This process mitigates the fundamental business risk of "silent data loss" inherent in high-volume AMI integrations, providing necessary assurance for financial reporting and regulatory compliance that testing alone cannot guarantee.</t>
  </si>
  <si>
    <t>Use Case 1 – Meter-to-Cash
Use Case 3 – Improve Customer Experience</t>
  </si>
  <si>
    <t>Calculate and validate time-varying (TOU/TVP) energy bills</t>
  </si>
  <si>
    <t>Execute CIS billing logic for rates where interval energy usage (kWh) is aggregated into pre-defined time-based buckets (e.g., On-Peak, Off-Peak, Seasonal periods) according to fixed schedules.</t>
  </si>
  <si>
    <t>Calculate and validate Demand (kW) and Coincident Peak bills</t>
  </si>
  <si>
    <t>Execute CIS billing logic that requires time-series analysis to determine peak power demand (kW), including non-coincident peaks, coincident system peaks, and complex structures like demand ratchets or power factor adjustments.</t>
  </si>
  <si>
    <t>Calculate and validate Dynamic and Real-Time Pricing (RTP) bills</t>
  </si>
  <si>
    <t>Execute CIS billing logic for rates subject to dynamic triggers or rapidly changing price signals (e.g., Critical Peak Pricing events, hourly wholesale market pricing) often requiring integration with external price signal feeds.</t>
  </si>
  <si>
    <t>IT Release 3</t>
  </si>
  <si>
    <t>Calculate and validate register-based bills</t>
  </si>
  <si>
    <t>Execute traditional billing cycles within the CIS for accounts remaining on scalar rates, utilizing validated start and stop register reads passed from the MDMS, applying rate schedules, calculating usage and charges, and performing pre-bill validation checks to identify and hold anomalous bills for manual review.</t>
  </si>
  <si>
    <t>Generate and distribute bill print and e-bills</t>
  </si>
  <si>
    <t>Format, generate and distribute final customer billing statements following successful bill calculation in CIS, managing interfaces to third-party print vendors for physical mail and digital platforms for e-bill delivery, and tracking delivery status while managing exceptions related to invalid addresses or bounced emails.</t>
  </si>
  <si>
    <t>Manage System-Detected Data Anomalies &amp; Technical Exceptions</t>
  </si>
  <si>
    <t>Investigate and resolve high-volume, system-generated exceptions triggered by pre-billing validation failures related to missing, incomplete, or technically invalid metering data inputs (e.g., register mismatches, stopped meter flags) to allow the billing cycle to proceed.</t>
  </si>
  <si>
    <t>Manage Rate Application &amp; Business Logic Exceptions</t>
  </si>
  <si>
    <t>Analyze and correct complex system exceptions stemming from failures in applying business rules or rate configurations during bill calculation (e.g., missing rate determinants, proration errors, net energy metering setup issues) to ensure accurate final bill generation.</t>
  </si>
  <si>
    <t>Manage Customer Billing Disputes &amp; High Bill Investigations</t>
  </si>
  <si>
    <t>Manage the end-to-end workflow for customer-initiated inquiries disputing billed amounts, requiring deep-dive investigations into usage history, rate application, and potential meter issues to provide satisfactory explanations or initiate necessary adjustments.</t>
  </si>
  <si>
    <t>Cancel and rebill</t>
  </si>
  <si>
    <t>Execute workflow required to correct previously issued bills within CIS, triggered by revised usage data from MDMS or retroactive rate changes, involving the reversal of original financial charges, recalculation based on corrected parameters, generation of a corrected statement, and management of customer notification regarding the adjustment.</t>
  </si>
  <si>
    <t>Manage complex billing arrangements</t>
  </si>
  <si>
    <t>Manage Virtual Net Metering (VNM) Allocations</t>
  </si>
  <si>
    <t>Manage the end-to-end lifecycle of Virtual Net Metering arrangements, defining the complex virtual relationships between a central generating facility and multiple non-colocated beneficiary accounts (e.g., tenants), and maintaining the dynamic percentage-based credit allocation schedules required to distribute generation credits accurately on ongoing monthly bills.</t>
  </si>
  <si>
    <t>Use Case 1 – Meter-to-Cash
Use Case 2 – Optimizing Energy Savings
Use Case 7 – Long-Term Grid Planning</t>
  </si>
  <si>
    <t>Manage NEM Aggregation (NEM-A) Structures</t>
  </si>
  <si>
    <t>Establish and maintain the complex account hierarchies required for regulatory NEM Aggregation, linking a principal generating account with multiple eligible, often contiguous, usage premises under a single customer ownership to enable a unified, aggregated billing settlement where total generation offsets total combined load.</t>
  </si>
  <si>
    <t>Manage customer support and inquiries</t>
  </si>
  <si>
    <t>Handle General AMI Customer Inquiries (Tier 1)</t>
  </si>
  <si>
    <t>Respond to high-volume, general customer questions regarding AMI deployment schedules, meter functionality, basic usage education, and AMI program benefits using standard knowledge base tools and scripts.</t>
  </si>
  <si>
    <t>Resolve Complex Technical Billing &amp; Usage Inquiries (Tier 2/3)</t>
  </si>
  <si>
    <t>Manage escalated customer inquiries that require deep technical investigation into interval usage data, meter event logs (HES), and VEE history (MDMS) to resolve complex billing disputes or perceived metering inaccuracies.</t>
  </si>
  <si>
    <t>Manage revenue protection</t>
  </si>
  <si>
    <t>Manage Revenue Protection Lifecycle</t>
  </si>
  <si>
    <t>Manage the end-to-end revenue protection lifecycle by analyzing meter alarms and usage patterns to detect potential energy diversion, conducting data-driven and field investigations to confirm and resolve theft cases, and tracking program performance through KPI reporting and trend analysis.</t>
  </si>
  <si>
    <t>As confirmed, Release 1 is foundational/deterministic. Release 2 deploys the full Analytics Platform, necessitating a process retouch to incorporate AI/ML insights and advanced theft pattern recognition.</t>
  </si>
  <si>
    <t>Manage opt-out and customer choice programs</t>
  </si>
  <si>
    <t>Manage Pre-Deployment Opt-Out Exclusions</t>
  </si>
  <si>
    <t>Manager customer requests to refuse smart meter installation before deployment, involving capturing the request in CIS/CRM, validating eligibility against regulatory rules, and critically, integrating with the MIV deployment planning system to place a "do not install" hold on the premise to prevent accidental installation.</t>
  </si>
  <si>
    <t>Manage Post-Deployment Opt-Out &amp; Exchange</t>
  </si>
  <si>
    <t>Manage customer requests to opt-out after an AMI meter has been installed, involving eligibility validation in CIS, generating a field work order in EAM/MWM to exchange the communicating meter for a non-communicating digital device, and updating CIS billing parameters to reflect the opt-out status and any associated fees.</t>
  </si>
  <si>
    <t>Disable AMI communications for opt-out customers</t>
  </si>
  <si>
    <t>Execute disabling the RF radio capability on an existing AMI meter for customers who choose to opt-out but where a physical meter exchange is not immediately required or possible, involving issuing a configuration command from the HES and verifying the cessation of communication.</t>
  </si>
  <si>
    <t>Enable AMI communications for re-enrolled customers</t>
  </si>
  <si>
    <t>Execute re-enabling the RF radio capability on a previously disabled AMI meter for customers who choose to opt-in to the AMI program, involving issuing a configuration command from the HES, verifying network re-registration, and updating CIS status.</t>
  </si>
  <si>
    <t>Process Opt-Out Customer Move-In Requests</t>
  </si>
  <si>
    <t>Manage service initiation requests for customers electing to opt-out at a new premise, including validating eligibility, configuring account enrollment settings, and triggering necessary field work orders to ensure a non-communicating meter is installed at the start of service.</t>
  </si>
  <si>
    <t>Process Opt-Out Customer Move-Out and Asset Disposition</t>
  </si>
  <si>
    <t>Manage service termination for existing opt-out customers, including finalizing billing and executing business rules to determine the immediate disposition of the non-communicating meter remaining at the vacated premise (e.g., scheduling replacement or flagging for the next occupant).</t>
  </si>
  <si>
    <t>Manage customer communications and experience</t>
  </si>
  <si>
    <t>Provide personalized consumption insights</t>
  </si>
  <si>
    <t>Generate and deliver value-added energy intelligence to customers via web portals and mobile apps, utilizing MDMS interval data fed into an analytics engine to provide usage breakdowns, peer comparisons, and personalized efficiency tips, requiring robust integration between MDMS, analytics platforms, and customer-facing channels.</t>
  </si>
  <si>
    <t>IT Release 2 (retouched in IT Release 3)</t>
  </si>
  <si>
    <t>Release 2 introduces the Analytics Platform (required for disaggregation). Release 3 retouches this to include "Actionable Insights" derived from BTM control and load management programs.</t>
  </si>
  <si>
    <t>Manage wholesale settlement</t>
  </si>
  <si>
    <t>Perform Wholesale Aggregation and Settlement Reconciliation</t>
  </si>
  <si>
    <t>Manage the end-to-end wholesale settlement process by aggregating validated interval data according to market rules for submission to the ISO/RTO, and performing balancing calculations against top-down substation inputs to determine and allocate Unaccounted for Energy (UFE).</t>
  </si>
  <si>
    <t>Manage rate optimization and program enrollment</t>
  </si>
  <si>
    <t>Provide Personalized Rate Recommendations and Bill Simulations</t>
  </si>
  <si>
    <t>Analyze customer usage patterns and behavioral data to model and recommend optimal rate structures, and generate simulated bill comparisons to clearly communicate the financial impact of potential rate changes or program participation.</t>
  </si>
  <si>
    <t>Use Case 2 – Optimizing Energy Savings with Personalized Incentives</t>
  </si>
  <si>
    <t>IT Release 1 (retouched in IT Release 3)</t>
  </si>
  <si>
    <t>Release 1 simulations are static comparisons of rate plans. Release 3 introduces "Customer-driven load management" (BTM Control), requiring the simulation engine to account for dynamic utility interventions and demand response events.</t>
  </si>
  <si>
    <t>Manage Demand Response Event Settlement</t>
  </si>
  <si>
    <t>Execute post-event workflow within the MDMS or a separate DR Management System to determine financial settlements for demand response participants, involving calculating Customer Baseline Loads (CBL) using historical interval data, measuring actual performance during the event window, calculating credits or penalties based on program rules, and passing these financial determinants to CIS for billing application.</t>
  </si>
  <si>
    <t>Manage EV Panel Capacity Limits</t>
  </si>
  <si>
    <t>Manage configuration within the HES/MDMS or Distributed Intelligence platform to define and maintain service panel capacity constraints for individual premises, pushing these parameters to edge applications on the meter to enable localized, autonomous throttling of EV charging load to prevent panel overloads.</t>
  </si>
  <si>
    <t>Use Case 3 – Improve Customer Experience
Use Case 7 – Long-Term Grid Planning</t>
  </si>
  <si>
    <t>Manage customer data access and transparency</t>
  </si>
  <si>
    <t>Manage Secure Third-Party Data Access (Green Button)</t>
  </si>
  <si>
    <t>Manage the end-to-end lifecycle of secure third-party data access, including authenticating requests from customers and authorized third parties, securely generating and delivering usage and generation data via APIs, and maintaining comprehensive audit logs to ensure compliance and detect misuse.</t>
  </si>
  <si>
    <t>Use Case 6 – 3rd Party Meter Data Access</t>
  </si>
  <si>
    <t>Grid &amp; Outage Management</t>
  </si>
  <si>
    <t>Manage connectivity and topology</t>
  </si>
  <si>
    <t>Manage Distribution Connectivity Model Lifecycle</t>
  </si>
  <si>
    <t>Establish and refine parent-child physical links between meters and service transformers using AMI voltage correlation data, continuously validate model accuracy through AMI and GIS feedback loops, and integrate the verified connectivity model with outage management and DER planning tools for enhanced situational awareness and operational decision-making.</t>
  </si>
  <si>
    <t>Use Case 11 – Distribution Connectivity Model &amp; Monitoring
Use Case 18 - Grid Ops: Situational Awareness</t>
  </si>
  <si>
    <t>Release 2 (Discovery): Establishes the topology model. Release 3 (Forensic Feedback): Adds feedback loop where Outage Root Cause Analysis permanently validates/updates the model.</t>
  </si>
  <si>
    <t>Detect and Reconcile Phase Assignment Errors</t>
  </si>
  <si>
    <t>Process high-resolution voltage angle data or phase identification signal results from AMI meters (using MDMS or grid analytics platforms), identifying discrepancies between physical phase connectivity and the record in GIS, and generating data correction requests to update the connectivity model.</t>
  </si>
  <si>
    <t>Use Case 11 – Distribution Connectivity Model &amp; Monitoring</t>
  </si>
  <si>
    <t>Monitor environmental conditions</t>
  </si>
  <si>
    <t>Monitor Environmental Sensor Telemetry</t>
  </si>
  <si>
    <t>Ingest, process and monitor of non-standard telemetry streams from AMI-enabled environmental sensors via the HES and MDMS, making this data available to operational dashboards and planning systems for situational awareness regarding localized weather, seismic events, or air quality conditions.</t>
  </si>
  <si>
    <t>Use Case 9 – Environmental Monitoring</t>
  </si>
  <si>
    <t>Detect and analyze behind-the-meter events</t>
  </si>
  <si>
    <t>Identify and classify EV charging signatures</t>
  </si>
  <si>
    <t>Identify premises with Electric Vehicle (EV) chargers based on characteristic load signatures (magnitude, duration, time of use), tagging these premises in CIS/MDMS to refine load forecasting models and target EV-specific programs.</t>
  </si>
  <si>
    <t>Use Case 18 – Grid Ops: Situational Awareness</t>
  </si>
  <si>
    <t>Detect rooftop solar (PV) generation</t>
  </si>
  <si>
    <t>Identify customer-installed photovoltaic (PV) generation events by analyzing AMI interval data for reverse power flow signatures during daylight hours and correlating inverter harmonic signatures.</t>
  </si>
  <si>
    <t>Detect battery storage operation</t>
  </si>
  <si>
    <t>Identify behind-the-meter battery storage systems by analyzing AMI data for characteristic charging and discharging load patterns that are distinct from solar generation profiles, such as load shifting or peak shaving behavior.</t>
  </si>
  <si>
    <t>Correlate load changes with customer profiles</t>
  </si>
  <si>
    <t>Combine interval load data from the MDMS with demographic, program participation, and premises data from CIS to create rich customer load profiles, improve the accuracy of demand forecasting and enabe more nuanced detection of abnormal usage patterns.</t>
  </si>
  <si>
    <t>Use Case 7 – Long-Term Grid Planning
Use Case 18 - Grid Ops: Situational Awareness</t>
  </si>
  <si>
    <t>Detect Unapproved DER Interconnection</t>
  </si>
  <si>
    <t>Detect meters (using HES or MDMS data) showing persistent reverse power flow (generation) signatures, compare these flags against approved interconnection records in CIS/EAM, and generate investigation cases for unapproved installations that pose safety or grid reliability risks.</t>
  </si>
  <si>
    <t>Use Case 8 – Anomaly &amp; Fault Detection BTM
Use Case 4 – Revenue Protection</t>
  </si>
  <si>
    <t>Monitor feeder and transformer loading</t>
  </si>
  <si>
    <t>Aggregate and monitor feeder and transformer loads</t>
  </si>
  <si>
    <t>Aggregate individual meter interval data from the MDMS up through the defined GIS connectivity model to calculate total loading on service transformers and feeder sections, monitoring these aggregated values against equipment ratings to detect overloading or severe phase imbalances.</t>
  </si>
  <si>
    <t>Release 1 provides basic aggregation for visibility. Release 2 (Analytics) adds predictive health scoring and thermal analysis.</t>
  </si>
  <si>
    <t>Perform Manual/Advisory Corrective Switching for Load Balancing</t>
  </si>
  <si>
    <t>Manage the operational workflow where AMI-driven loading insights trigger alerts or recommendations for grid operators, who then manually analyze and execute preventative switching actions to balance feeder or transformer loads.</t>
  </si>
  <si>
    <t>Use Case 12 – Switching Support, Outage Selection, and Controlled Restoration</t>
  </si>
  <si>
    <t>Execute Automated Corrective Switching (FLISR/ADMS)</t>
  </si>
  <si>
    <t>Manage the fully autonomous, machine-speed process where the ADMS/FLISR system utilizes real-time AMI and SCADA data to automatically detect imminent overload conditions and execute complex switching sequences to reconfigure the grid without human intervention.</t>
  </si>
  <si>
    <t>Detect voltage and power quality issues</t>
  </si>
  <si>
    <t>Analyze voltage, frequency, and harmonic data</t>
  </si>
  <si>
    <t>Continuously monitor and ingest high-resolution voltage, frequency, and harmonic data from diverse AMI endpoints to establish baseline grid performance and identify statistical deviations that indicate potential power quality issues.</t>
  </si>
  <si>
    <t>Release 1 is monitoring/reporting. Release 2 retouches this to include closed-loop control (Triggering regulator adjustments).</t>
  </si>
  <si>
    <t>Classify and report power quality anomalies</t>
  </si>
  <si>
    <t>Apply analytical rules to categorize identified deviations into specific power quality events (e.g., sags, swells, harmonic distortion) and generate prioritized alerts and reports for grid operations engineering to investigate.</t>
  </si>
  <si>
    <t>Release 1 is monitoring/reporting. Release 2 retouches this to include closed-loop control.</t>
  </si>
  <si>
    <t>Perform Open-Loop (Advisory) Volt/VAR Optimization</t>
  </si>
  <si>
    <t>Utilize aggregated AMI edge voltage data to model grid conditions and generate optimized control recommendations for regulators and capacitor banks, which are presented to grid operators for manual review and execution.</t>
  </si>
  <si>
    <t>Release 2 is Open Loop (Advisory). Release 3 adds Closed Loop automation and integrates DER impact into regulation logic.</t>
  </si>
  <si>
    <t>Execute Closed-Loop (Autonomous) Volt/VAR Optimization</t>
  </si>
  <si>
    <t>Manage the fully autonomous, continuous process where the ADMS utilizes real-time AMI voltage feedback to automatically calculate and execute control commands for grid assets to maintain optimal voltage profiles (e.g., CVR) without operator intervention.</t>
  </si>
  <si>
    <t>Perform grid fault and incipient failure detection</t>
  </si>
  <si>
    <t>Perform AMI-Driven Fault Detection and Predictive Maintenance</t>
  </si>
  <si>
    <t>Utilize advanced analytics to detect incipient failure signatures in distribution assets using AMI power quality data, correlate these findings with SCADA and other sensor inputs for precise fault localization, and generate prioritized maintenance recommendations to prevent equipment failures.</t>
  </si>
  <si>
    <t>Use Case 15 – Fault &amp; Incipient Fault Identification on the Distribution System</t>
  </si>
  <si>
    <t>Release 2 (Detection) uses Permanent DI Hub analytics. Release 3 (Tuning) incorporates "Ground Truth" feedback from actual failures to tune detection models. Release 2 is Operational (immediate health scores). Release 3 is Strategic (aligning asset health with long-term capital planning).</t>
  </si>
  <si>
    <t>Detect and manage safety hazards</t>
  </si>
  <si>
    <t>Detect and Respond to Hot Socket Alarms</t>
  </si>
  <si>
    <t>Identify high-temperature alarms from meter event logs in the HES and conduct immediate automated validation logic in the HES/MDMS to filter false positives, followed by instantaneous execution of a remote disconnect command (if enabled) and/or high-priority dispatch of field crews via OMS/MWM to investigate a potential fire hazard.</t>
  </si>
  <si>
    <t>Release 1 uses basic alarms. Release 2 applies advanced analytics (impedance monitoring) to filter false positives.</t>
  </si>
  <si>
    <t>Identify and Resolve Neutral Connection Issues</t>
  </si>
  <si>
    <t>Identify characteristic signatures of a floating or loose neutral connection at a premise or transformer (using HES and/or MDMS voltage and impedance data to), generating prioritized preventative maintenance orders in EAM/MWM before the condition leads to customer equipment damage or safety issues.</t>
  </si>
  <si>
    <t>Use Case 8 – Anomaly &amp; Fault Detection BTM
Use Case 10 – Performance and Health of Distribution System Assets</t>
  </si>
  <si>
    <t>Detect and locate outages</t>
  </si>
  <si>
    <t>Perform AMI Outage Detection, Validation, and Prioritization</t>
  </si>
  <si>
    <t>Manage the automated technical process of ingesting raw AMI telemetry (e.g., last gasps, power restoration signals), filtering false positives, validating events against existing grid conditions, and applying algorithmic rules to cluster individual meter events into prioritized outage incident records for dispatch.</t>
  </si>
  <si>
    <t>Use Case 5 – Advanced Outage Identification and Location Awareness</t>
  </si>
  <si>
    <t>Coordinate Operational Response and Cross-Team Alignment</t>
  </si>
  <si>
    <t>Manage the operational workflow that occurs once an outage incident is confirmed, ensuring real-time synchronization of outage status, estimated restoration times (ERTs), and crew progress between the control room, field operations, and customer service platforms to maintain situational awareness across teams.</t>
  </si>
  <si>
    <t>Perform controlled switching and restoration</t>
  </si>
  <si>
    <t>Ping meters for outage verification</t>
  </si>
  <si>
    <t>Execute on-demand "system pings" from the OMS or grid operations desk via the HES to a select group of meters to surgically verify the scope of an outage area or confirm partial restoration scenarios (e.g., "nested" outages), without prematurely triggering automated restoration logic in the OMS.</t>
  </si>
  <si>
    <t>Execute and Verify Power Restoration</t>
  </si>
  <si>
    <t>Execute operator-approved switching commands to restore service after an outage, monitor the staged restoration sequence using AMI telemetry, and verify final power restoration status to update the OMS and customer communication systems with authoritative confirmation.</t>
  </si>
  <si>
    <t>Manage outage communications</t>
  </si>
  <si>
    <t>Deliver outage and restoration notifications to customers</t>
  </si>
  <si>
    <t>Deliver automated, multi-channel communications triggered by outage events and status changes in the OMS, utilizing customer contact preferences from CIS to deliver timely notifications regarding outage confirmation, estimated restoration times (ERTs), and final restoration verification via text, email, or voice.</t>
  </si>
  <si>
    <t>Use Case 3 – Improve Customer Experience
Use Case 5 – Advanced Outage Identification</t>
  </si>
  <si>
    <t>Release 2 covers standard outage comms. Release 3 includes notifications related to specific customer-driven load shedding events.</t>
  </si>
  <si>
    <t>Perform event analysis and root-cause investigation</t>
  </si>
  <si>
    <t>Analyze waveform signatures</t>
  </si>
  <si>
    <t>This process encompasses the advanced engineering workflow of requesting on-demand high-resolution waveform data captures from capable meters via the HES following a complex grid event, and utilizing specialized power quality analysis software to interpret pre- and post-fault signatures to determine root cause (e.g., vegetation contact, equipment failure).</t>
  </si>
  <si>
    <t>Use Case 10 – Performance and Health of Distribution System Assets
Use Case 13 – Post Event Analysis</t>
  </si>
  <si>
    <t>Release 2 focuses on Real-time Safety/Ops. Release 3 focuses on Retrospective Forensic Analysis to determine root cause.</t>
  </si>
  <si>
    <t>Perform Post-Event Forensic Analysis and Root Cause Investigation</t>
  </si>
  <si>
    <t>Systematically reconstruct outage and restoration sequences using multi-source data (AMI, OMS, SCADA), analyze data correlations to determine root causes of faults or power quality events, and formally document findings, corrective actions, and lessons learned to close the investigation loop.</t>
  </si>
  <si>
    <t>Use Case 13 – Post Event Analysis</t>
  </si>
  <si>
    <t>Meter Operations &amp; Diagnostics</t>
  </si>
  <si>
    <t>Manage Device Software, Configuration, and Security Lifecycle</t>
  </si>
  <si>
    <t>Manage Device Firmware Upgrade Campaigns</t>
  </si>
  <si>
    <t>Manage the end-to-end lifecycle of firmware upgrade campaigns for meters and network devices, including planning target populations, scheduling deployment jobs, executing the upgrades, and validating successful deployment and subsequent device connectivity.</t>
  </si>
  <si>
    <t>Manage Device Security Certificates Lifecycle</t>
  </si>
  <si>
    <t>Manage digital identities of all AMI devices, involving tracking certificate expiration dates within a Public Key Infrastructure (PKI) management platform and the HES, planning and executing secure over-the-air certificate renewal campaigns before expiry to prevent devices from becoming permanently disconnected (orphaned) from the network.</t>
  </si>
  <si>
    <t>Define and Manage Meter Configuration Programs</t>
  </si>
  <si>
    <t>Create, version-control, and manage a centralized repository of vendor-agnostic meter configuration profiles (programs), requiring system capabilities for secure library storage, change management logging, and role-based approval workflows to validate configurations prior to deployment authorization.</t>
  </si>
  <si>
    <t>Manage Distributed Intelligence (DI) Application Lifecycle &amp; Operations</t>
  </si>
  <si>
    <t>Manage the end-to-end lifecycle of distributed intelligence applications on the edge, including defining and tuning business logic parameters, coordinating the versioning, testing, and deployment of AI models and application binaries, and monitoring runtime performance and resource consumption to ensure operational health.</t>
  </si>
  <si>
    <t>The migration from DI Hub Light (R1.2) to Permanent DI Hub (R2) necessitates a complete redesign of how apps are configured, deployed, and managed.</t>
  </si>
  <si>
    <t>Manage meter operations commands</t>
  </si>
  <si>
    <t>Execute on-demand reads or pings</t>
  </si>
  <si>
    <t>Execute real-time, ad-hoc commands from various upstream systems (CIS, MDMS, OMS) via the HES to retrieve instantaneous register reads for move-in/out verification or to ping devices to confirm network connectivity during troubleshooting workflows, handling success/failure responses from the field.</t>
  </si>
  <si>
    <t>Send test or diagnostic commands</t>
  </si>
  <si>
    <t>Send specialized engineering commands via the HES to individual meters or groups to validate device health, retrieve diagnostic logs, confirm configuration parameter settings, or verify the successful application of a firmware patch, distinct from standard billing data retrieval.</t>
  </si>
  <si>
    <t>Track device reliability and communication performance</t>
  </si>
  <si>
    <t>Continuously monitor and analyze HES network performance data and device event logs to calculate reliability metrics (e.g., daily read success rates, mesh hop counts), identify poorly performing devices or network pockets, and detect systemic recurring issues for proactive maintenance.</t>
  </si>
  <si>
    <t>Release 1 tracks basic comms rates (Read Success). Release 2 retouches this to track Edge Compute Health (CPU/RAM usage on the meter), which is required for the Permanent DI Hub.</t>
  </si>
  <si>
    <t>Data &amp; Analytics Platform Management</t>
  </si>
  <si>
    <t>Manage enterprise data platform</t>
  </si>
  <si>
    <t>Coordinate AMI data integration with enterprise data lake</t>
  </si>
  <si>
    <t>Operate and monitor of the data pipelines responsible for extracting validated interval, register, and event data from the MDMS operational data store and loading it into the enterprise Data Lake/Data Warehouse environment, ensuring data currency, completeness, and adherence to interface service level agreements (SLAs) for downstream analytics users.</t>
  </si>
  <si>
    <t>IT Release 1 (retouched in IT Release 2 and 3)</t>
  </si>
  <si>
    <t>The data payload expands significantly. Release 1 = Billing Data. Release 2 = PQ/Waveforms. Release 3 = BTM/Control Data. The integration process must be retouched to handle these new schemas.</t>
  </si>
  <si>
    <t>Manage Legacy Data Migration Projects</t>
  </si>
  <si>
    <t>Execute and Validate Historical Data Migration</t>
  </si>
  <si>
    <t>Manage the end-to-end migration of historical data from legacy systems, driving requirements for specific ETL transformation logic definitions, data mapping configurations, and robust automated reconciliation reporting tools to validate data integrity between source and target systems post-cutover.</t>
  </si>
  <si>
    <t>Manage interoperability and event correlation</t>
  </si>
  <si>
    <t>Analyze AMI event notifications</t>
  </si>
  <si>
    <t>Process and analyze high-volume stream of device events (e.g., power fail, restore, tamper, diagnostic flags) flowing from the HES into the MDMS or event correlation engine, filtering noise to identify actionable conditions for grid operations, revenue protection, or asset management.</t>
  </si>
  <si>
    <t>Use Case 13 – Post Event Analysis
Use Case 5 – Advanced Outage Identification and Location Awareness</t>
  </si>
  <si>
    <t>Release 1 handles basic alarms. Release 3 (Post Event Analysis) requires correlating these events with SCADA/OMS data for complex root cause analysis.</t>
  </si>
  <si>
    <t>Manage data security and privacy</t>
  </si>
  <si>
    <t>Implement role-based access control and encryption</t>
  </si>
  <si>
    <t>Define and implement ongoing governance of security controls across the entire AMI architecture, including managing Role-Based Access Control (RBAC) policies in the HES, MDMS, and integrated systems, and ensuring adherence to encryption standards for data at rest in databases and in transit across networks to protect customer and grid data.</t>
  </si>
  <si>
    <t>Release 1 secures the utility data. Release 3 opens up 3rd Party Access (Green Button) and Control Commands, requiring a retouch to implement finer-grained, role-based security and external authentication.</t>
  </si>
  <si>
    <t>Manage edge and distributed intelligence</t>
  </si>
  <si>
    <t>Maintain Operational Device Segments &amp; Groups</t>
  </si>
  <si>
    <t>Establish and dynamically maintain logical groupings of meters and grid devices based on specific business criteria (e.g., "High Fire Risk Areas," "EV Owners," "Critical Infrastructure") to enable precise, targeted execution of firmware updates, edge application deployments, and operational commands, ensuring grid management actions are tailored to specific operational contexts and customer segments.</t>
  </si>
  <si>
    <t>Use Case 14 – AMI 2.0 Interoperability
Use Case 3 – Improve Customer Experience</t>
  </si>
  <si>
    <t>Release 1 (DI Hub Light): You are managing groups on a "Light" platform, likely limited to basic firmware or billing groups. Release 2 (Permanent DI Hub): The entire underlying platform changes to the "Permanent DI Hub." The process of creating and managing groups must be redesigned (retouched) to accommodate the complex, dynamic grouping logic required for the new Edge Apps (e.g., grouping by "Solar Inverter Type" or "Transformer Loading Zone").</t>
  </si>
  <si>
    <t>Manage third-party data exchange</t>
  </si>
  <si>
    <t>Manage Secure Third-Party Data Exchange Lifecycle (Supplier, Research Instituion)</t>
  </si>
  <si>
    <t>Manage the end-to-end lifecycle of secure data exchange with institutional third parties, including authenticating and authorizing requests, transmitting datasets via secure API channels in compliance with privacy standards, and maintaining comprehensive audit logs to monitor usage and ensure compliance.</t>
  </si>
  <si>
    <t>Capture and correlate operational events across AMI, OMS, and CIS</t>
  </si>
  <si>
    <t>Establish and maintain a centralized, real-time event correlation engine that ingests and synthesizes disparate data streams from AMI (e.g., alarms, voltage), OMS (e.g., switching, outages), and CIS (e.g., customer calls), applying complex, multi-variable logic to identify cross-domain relationships and generate validated, actionable intelligence that drives automated operational responses and reveals performance insights invisible to individual siloed systems.</t>
  </si>
  <si>
    <t>Use Case 13 – Post Event Analysis
Use Case 14 – AMI 2.0 Interoperability</t>
  </si>
  <si>
    <t>Manage reporting and visualization</t>
  </si>
  <si>
    <t>Design and maintain AMI dashboards</t>
  </si>
  <si>
    <r>
      <t xml:space="preserve">Design, build and maintain interactive data visualization dashboards within the enterprise BI platform (e.g., PowerBI, Tableau) connected to the </t>
    </r>
    <r>
      <rPr>
        <sz val="11"/>
        <color theme="1"/>
        <rFont val="Aptos Narrow"/>
        <family val="2"/>
        <scheme val="minor"/>
      </rPr>
      <t>MDMS and Data Lake, translating raw AMI metrics into intuitive, persona-based views for monitoring network health, VEE performance, deployment progress, and customer usage trends, including managing user access roles and data refresh schedules.</t>
    </r>
  </si>
  <si>
    <t>Use Case 13 – Post Event Analysis
Use Case 18 – Grid Ops: Situational Awareness</t>
  </si>
  <si>
    <t>Automate recurring reports and analytics</t>
  </si>
  <si>
    <r>
      <t xml:space="preserve">Develop, schedule and manage automated reporting jobs within the </t>
    </r>
    <r>
      <rPr>
        <sz val="11"/>
        <color theme="1"/>
        <rFont val="Aptos Narrow"/>
        <family val="2"/>
        <scheme val="minor"/>
      </rPr>
      <t>MDMS or BI platform to generate standardized, recurring reports (e.g., daily operational KPIs, monthly regulatory compliance filings), ensuring accurate data extraction, formatting, and timely distribution to defined stakeholder distribution lists via email or file share drop.</t>
    </r>
  </si>
  <si>
    <t>Identify cross-system anomalies</t>
  </si>
  <si>
    <t>Establish and maintain a continuous, automated detective control that constantly compares real-time operational states across OT systems (e.g., AMI voltage vs. SCADA breaker status) to proactively identify, flag, and prioritize data inconsistencies, thereby revealing latent errors in the grid connectivity model (GIS) or sensor failures before they can impact outage management, safety operations, or grid planning.</t>
  </si>
  <si>
    <t>Use Case 13 – Post Event Analysis
Use Case 15 – Fault &amp; Incipient Fault Identification on the Distribution System</t>
  </si>
  <si>
    <t>First Pass</t>
  </si>
  <si>
    <t>Retouch</t>
  </si>
  <si>
    <t>Release 1</t>
  </si>
  <si>
    <t>70-75</t>
  </si>
  <si>
    <t>Release 2</t>
  </si>
  <si>
    <t>20-25</t>
  </si>
  <si>
    <t>Release 3</t>
  </si>
  <si>
    <t>25-30</t>
  </si>
  <si>
    <t>10-15</t>
  </si>
  <si>
    <t>Total</t>
  </si>
  <si>
    <t>115-130</t>
  </si>
  <si>
    <t>30-40</t>
  </si>
  <si>
    <t>Updated 11/7/2025</t>
  </si>
  <si>
    <t>Updated 11/21/2025</t>
  </si>
  <si>
    <t>Row Labels</t>
  </si>
  <si>
    <t>Count of L3 Process Name</t>
  </si>
  <si>
    <t>Grand Total</t>
  </si>
  <si>
    <t>Comments</t>
  </si>
  <si>
    <t>Response</t>
  </si>
  <si>
    <t>Resolution</t>
  </si>
  <si>
    <t>Track registration of assets</t>
  </si>
  <si>
    <t>Register received meters and network devices into asset tracking and head-end systems.</t>
  </si>
  <si>
    <t>Duplicative of "Register devices in asset and head-end systems"</t>
  </si>
  <si>
    <t>Track customer program participation</t>
  </si>
  <si>
    <t>Monitor enrollment and participation in demand or rate programs to support incentive management.</t>
  </si>
  <si>
    <t>How process impacted by AMI?  I don't see how the new AMI asset or the data from the new AMI meters impacts this process</t>
  </si>
  <si>
    <t>Remove</t>
  </si>
  <si>
    <t>Measure customer engagement effectiveness</t>
  </si>
  <si>
    <t>Evaluate engagement metrics to assess adoption and satisfaction with AMI-enabled communications.</t>
  </si>
  <si>
    <t>Why is this one in IT release 2 versus "Provide personalized consumption insights" is in release 2?</t>
  </si>
  <si>
    <t>Field Operations &amp; Deployment</t>
  </si>
  <si>
    <t>Plan and schedule meter deployment</t>
  </si>
  <si>
    <t>Define deployment waves and regional priorities</t>
  </si>
  <si>
    <t>Establish regional rollout plans and sequencing for AMI meter deployment to optimize logistics and customer readiness.</t>
  </si>
  <si>
    <t>Foundational – Not Mapped to SCE Use Case</t>
  </si>
  <si>
    <t>Is this valuable to discuss as part of a busines requirements design effort where the outputs are going to the system integrator? I don't see how the outcome of this process impacts any system in scope</t>
  </si>
  <si>
    <t>Develop and validate installation schedules</t>
  </si>
  <si>
    <t>Create, validate, and maintain daily and weekly installation schedules integrating utility and contractor resources.</t>
  </si>
  <si>
    <t>Similar to the prior process, installation scheduling is operational. Unless the SI is building automated work-order integrations with the contractor’s scheduling system, there’s little BRD value.
Keep only if work management system integration (WMS–MDMS sync) is explicitly in scope. Otherwise remove as non-system-facing.</t>
  </si>
  <si>
    <t>Remove obsolete meters, update asset records, and validate final reads prior to disposal.</t>
  </si>
  <si>
    <t>Would this be captured as part of "perform meter exchange and re-commissioning" since an exchange includes a removal as the first step?</t>
  </si>
  <si>
    <t>Merge with “Perform meter exchange and commissioning.”
Consolidate under one process to streamline hierarchy and avoid duplicate documentation effort.</t>
  </si>
  <si>
    <t>Manage field deployment quality and performance</t>
  </si>
  <si>
    <t>Conduct field quality audits</t>
  </si>
  <si>
    <t>Verify installation quality and compliance with technical and safety standards through random inspections.</t>
  </si>
  <si>
    <t>Coordinate access requirements for installation</t>
  </si>
  <si>
    <t>Arrange site access with customers or property managers to minimize missed appointments.</t>
  </si>
  <si>
    <t>Manage field safety and compliance</t>
  </si>
  <si>
    <t>Monitor safety compliance</t>
  </si>
  <si>
    <t>Enforce field safety requirements and verify completion of required training and certifications.</t>
  </si>
  <si>
    <t>Record and review safety incidents</t>
  </si>
  <si>
    <t>Document and review safety incidents or near misses to identify preventive measures.</t>
  </si>
  <si>
    <t>Manage contractor and vendor coordination</t>
  </si>
  <si>
    <t>Onboard and train contractor teams</t>
  </si>
  <si>
    <t>Provide orientation, system access, and work standards training for new vendor crews.</t>
  </si>
  <si>
    <t>Manage data governance and quality</t>
  </si>
  <si>
    <t>Define data ownership and stewardship roles</t>
  </si>
  <si>
    <t>Establish governance structure and ownership for AMI data domains and quality controls.</t>
  </si>
  <si>
    <t>For a business requirements design effort where the outputs will go to a system integrator to build the solution, what am I going to be documenting here?</t>
  </si>
  <si>
    <t>It’s governance-level documentation, not part of SI scope. Include in program governance playbooks instead.</t>
  </si>
  <si>
    <t>Analyze installer and contractor performance</t>
  </si>
  <si>
    <t>Evaluate installer productivity, accuracy, and safety metrics for vendor oversight and continuous improvement.</t>
  </si>
  <si>
    <t>This would be IT Release 1 as its needed as they start mass meter deployment after IT release 1
Is this valuable to discuss as part of a busines requirements design effort where the outputs are going to the system integrator? I don't see how the outcome of this process impacts any system in scope</t>
  </si>
  <si>
    <t>Per Tim conversation</t>
  </si>
  <si>
    <t>Resolve field issues and escalate when needed</t>
  </si>
  <si>
    <t>Address and resolve deployment issues, escalating persistent or systemic problems for remediation.</t>
  </si>
  <si>
    <t>Track exception resolution metrics</t>
  </si>
  <si>
    <t>Measure and report on exception closure rates and recurring issue trends.</t>
  </si>
  <si>
    <t xml:space="preserve">This would be IT Release 1 as its needed as they start mass meter deployment after IT release 1
Is this separate from one above?  </t>
  </si>
  <si>
    <t>Monitor vendor compliance and KPIs</t>
  </si>
  <si>
    <t>Track contractor performance against established metrics for quality and timeliness.</t>
  </si>
  <si>
    <t>Conduct joint performance reviews and approve invoices</t>
  </si>
  <si>
    <t>Hold performance reviews and approve vendor invoices based on verified metrics.</t>
  </si>
  <si>
    <t>Process legacy meter reads</t>
  </si>
  <si>
    <t>Collect, validate, and integrate legacy meter reads during AMI transition to maintain billing continuity.</t>
  </si>
  <si>
    <t>Remove (assume this is not impacted)</t>
  </si>
  <si>
    <t>Implement corrective and preventive actions</t>
  </si>
  <si>
    <t>Address identified safety risks with updated procedures or retraining.</t>
  </si>
  <si>
    <t>Remove, do not foresee this having any system impacts</t>
  </si>
  <si>
    <t>Deploy approved rate plans</t>
  </si>
  <si>
    <t>Configure and deploy approved rate plans into CIS and billing systems.</t>
  </si>
  <si>
    <r>
      <t xml:space="preserve">This process is only marginally influenced by AMI. The act of </t>
    </r>
    <r>
      <rPr>
        <i/>
        <sz val="11"/>
        <color theme="1"/>
        <rFont val="Aptos Narrow"/>
        <family val="2"/>
        <scheme val="minor"/>
      </rPr>
      <t>deploying rate plans into CIS</t>
    </r>
    <r>
      <rPr>
        <sz val="11"/>
        <color theme="1"/>
        <rFont val="Aptos Narrow"/>
        <family val="2"/>
        <scheme val="minor"/>
      </rPr>
      <t xml:space="preserve"> is primarily a billing configuration step, not one that directly leverages interval data or AMI device capabilities. However, new AMI-enabled TOU rates may require validation that interval data granularity aligns with CIS rate engines.</t>
    </r>
  </si>
  <si>
    <t>Keep only the configuration aspects that require integration between MDMS and CIS (e.g., validating interval feed supports TOU billing). Remove non-AMI portions to focus on metering-to-billing alignment.</t>
  </si>
  <si>
    <t>Deliver proactive outage and restoration notifications</t>
  </si>
  <si>
    <t>Provide automated outage, restoration, and usage alerts to customers based on AMI and OMS data.</t>
  </si>
  <si>
    <t>Use Case 3 – Improve Customer Experience
Use Case 5 – Advanced Outage Identification and Location Awareness</t>
  </si>
  <si>
    <t>Manage customer notification preferences</t>
  </si>
  <si>
    <t>Maintain customer preferences for notification type, channel, and frequency across AMI programs.</t>
  </si>
  <si>
    <t>Manage rate and billing configuration</t>
  </si>
  <si>
    <t>Configure and test dynamic or time-of-use rates</t>
  </si>
  <si>
    <t>Set up and test new rate structures in CIS to support TOU, EV, and DER-based tariffs.</t>
  </si>
  <si>
    <t>TOU rates are entirely dependent on interval data supplied by AMI. CIS configurations must align with MDMS-delivered intervals and quality flags. Therefore, the process defines key integration points (rate engine validation, VEE rules, interval completeness).</t>
  </si>
  <si>
    <t>It defines direct system dependencies between MDMS and CIS; crucial for TOU billing design. Must be retained and explicitly documented.</t>
  </si>
  <si>
    <t>Integrate deployment plan with work order and contractor systems</t>
  </si>
  <si>
    <t>Synchronize deployment plan with MIV and work management platforms for real-time visibility.</t>
  </si>
  <si>
    <t>Manage deployment interoperability</t>
  </si>
  <si>
    <t>Coordinate utility and vendor system integration</t>
  </si>
  <si>
    <t>Ensure smooth data exchange between utility systems and multiple meter/network vendor platforms.</t>
  </si>
  <si>
    <t>Moved to IT Release 1</t>
  </si>
  <si>
    <t>Manage outage testing and diagnostics</t>
  </si>
  <si>
    <t>Simulate outage detection scenarios</t>
  </si>
  <si>
    <t>Test AMI outage detection algorithms using synthetic data to validate performance.</t>
  </si>
  <si>
    <t>Analyze false outage signals</t>
  </si>
  <si>
    <t>Investigate and resolve erroneous outage reports to improve algorithm accuracy.</t>
  </si>
  <si>
    <t>Manage data integration and exchange</t>
  </si>
  <si>
    <t>Define and maintain data interfaces</t>
  </si>
  <si>
    <t>Define, document, and manage interfaces between head-end, MDMS, CIS, and analytics systems.</t>
  </si>
  <si>
    <r>
      <t xml:space="preserve">This process defines which systems exchange data (e.g., HES, MDMS, CIS, DMS) and what business data objects and update cadence exist. In a BRD, you’re not detailing technical interface specs but describing </t>
    </r>
    <r>
      <rPr>
        <i/>
        <sz val="11"/>
        <color theme="1"/>
        <rFont val="Aptos Narrow"/>
        <family val="2"/>
        <scheme val="minor"/>
      </rPr>
      <t>data flow ownership and business rules</t>
    </r>
    <r>
      <rPr>
        <sz val="11"/>
        <color theme="1"/>
        <rFont val="Aptos Narrow"/>
        <family val="2"/>
        <scheme val="minor"/>
      </rPr>
      <t xml:space="preserve"> that govern those interfaces — e.g., how billing data, outage events, or tamper flags are consumed downstream.</t>
    </r>
  </si>
  <si>
    <t>It’s essential for traceability of integration logic and ownership boundaries. Provides business context for SI interface design without duplicating interface specs.</t>
  </si>
  <si>
    <t>Transform and normalize datasets</t>
  </si>
  <si>
    <t>Standardize and harmonize data formats across AMI, OMS, and analytics systems for consistency and interoperability.</t>
  </si>
  <si>
    <r>
      <t xml:space="preserve">You’ll define </t>
    </r>
    <r>
      <rPr>
        <i/>
        <sz val="11"/>
        <color theme="1"/>
        <rFont val="Aptos Narrow"/>
        <family val="2"/>
        <scheme val="minor"/>
      </rPr>
      <t>business transformation logic</t>
    </r>
    <r>
      <rPr>
        <sz val="11"/>
        <color theme="1"/>
        <rFont val="Aptos Narrow"/>
        <family val="2"/>
        <scheme val="minor"/>
      </rPr>
      <t xml:space="preserve"> — for example, converting interval data to billing-quality usage, aligning timestamps, applying loss factors, or normalizing field codes between systems. You won’t describe ETL mappings but will specify what data meaning must be preserved through transformation.</t>
    </r>
  </si>
  <si>
    <t>This defines how AMI data becomes usable for billing and analytics. Sits at the heart of MDMS functional logic and is critical to hand off to the SI.</t>
  </si>
  <si>
    <t>Monitor and reconcile ETL/ELT and API jobs</t>
  </si>
  <si>
    <t>Monitor scheduled and near-real-time data transfers and reconcile discrepancies across platforms.</t>
  </si>
  <si>
    <t>Why is this IT Release 1?  I would think we'd need to monitor transfers from the start and can't wait until IT release 2</t>
  </si>
  <si>
    <t>You’re right — data reconciliation and transfer monitoring must exist from day one. The SI will need to implement validation and logging in Release 1 when core integrations go live. Later releases might only enhance monitoring granularity.</t>
  </si>
  <si>
    <r>
      <t xml:space="preserve">Shift to </t>
    </r>
    <r>
      <rPr>
        <b/>
        <sz val="11"/>
        <color theme="1"/>
        <rFont val="Aptos Narrow"/>
        <family val="2"/>
        <scheme val="minor"/>
      </rPr>
      <t>IT Release 1 (retouched in Release 2)</t>
    </r>
    <r>
      <rPr>
        <sz val="11"/>
        <color theme="1"/>
        <rFont val="Aptos Narrow"/>
        <family val="2"/>
        <scheme val="minor"/>
      </rPr>
      <t xml:space="preserve"> to align with initial data flow readiness.</t>
    </r>
  </si>
  <si>
    <t>Apply and monitor quality rules</t>
  </si>
  <si>
    <t>Enforce data quality standards and continuously monitor results through dashboards.</t>
  </si>
  <si>
    <t>If the MDMS or analytics platform applies data validation logic (e.g., completeness, duplication, gap detection), those rules are requirements. If this refers to enterprise DQ monitoring dashboards, it’s outside scope</t>
  </si>
  <si>
    <r>
      <t xml:space="preserve">Keep only if you’re specifying </t>
    </r>
    <r>
      <rPr>
        <i/>
        <sz val="11"/>
        <color theme="1"/>
        <rFont val="Aptos Narrow"/>
        <family val="2"/>
        <scheme val="minor"/>
      </rPr>
      <t>automated AMI data quality rules</t>
    </r>
    <r>
      <rPr>
        <sz val="11"/>
        <color theme="1"/>
        <rFont val="Aptos Narrow"/>
        <family val="2"/>
        <scheme val="minor"/>
      </rPr>
      <t xml:space="preserve"> within MDMS or data platform. Otherwise remove.</t>
    </r>
  </si>
  <si>
    <t>Resolve data quality exceptions and publish metrics</t>
  </si>
  <si>
    <t>Resolve exceptions and report AMI data quality metrics to business stakeholders.</t>
  </si>
  <si>
    <r>
      <t xml:space="preserve">You would capture </t>
    </r>
    <r>
      <rPr>
        <i/>
        <sz val="11"/>
        <color theme="1"/>
        <rFont val="Aptos Narrow"/>
        <family val="2"/>
        <scheme val="minor"/>
      </rPr>
      <t>how exceptions are remediated</t>
    </r>
    <r>
      <rPr>
        <sz val="11"/>
        <color theme="1"/>
        <rFont val="Aptos Narrow"/>
        <family val="2"/>
        <scheme val="minor"/>
      </rPr>
      <t xml:space="preserve"> — e.g., whether they trigger a re-ingest, require manual correction, or are excluded from billing. This is actionable logic the SI must configure in MDMS workflows.</t>
    </r>
  </si>
  <si>
    <t>Exception handling logic directly affects MDMS data accuracy and downstream billing, so it’s core BRD content.</t>
  </si>
  <si>
    <t>Monitor access logs and regulatory compliance</t>
  </si>
  <si>
    <t>Continuously monitor user access and log activities to maintain compliance with CPUC and privacy policies.</t>
  </si>
  <si>
    <r>
      <t xml:space="preserve">The BRD should specify which </t>
    </r>
    <r>
      <rPr>
        <i/>
        <sz val="11"/>
        <color theme="1"/>
        <rFont val="Aptos Narrow"/>
        <family val="2"/>
        <scheme val="minor"/>
      </rPr>
      <t>user or system actions</t>
    </r>
    <r>
      <rPr>
        <sz val="11"/>
        <color theme="1"/>
        <rFont val="Aptos Narrow"/>
        <family val="2"/>
        <scheme val="minor"/>
      </rPr>
      <t xml:space="preserve"> require audit tracking (e.g., data exports, API usage, remote commands). You’re not defining log schemas, just identifying what needs to be monitored and reported.</t>
    </r>
  </si>
  <si>
    <t>It directly defines compliance features the SI must build or configure.</t>
  </si>
  <si>
    <t>Enforce retention and purge policies</t>
  </si>
  <si>
    <t>Apply retention schedules and securely purge data per policy and regulatory requirements.</t>
  </si>
  <si>
    <r>
      <t xml:space="preserve">You’ll define </t>
    </r>
    <r>
      <rPr>
        <i/>
        <sz val="11"/>
        <color theme="1"/>
        <rFont val="Aptos Narrow"/>
        <family val="2"/>
        <scheme val="minor"/>
      </rPr>
      <t>retention periods by data type</t>
    </r>
    <r>
      <rPr>
        <sz val="11"/>
        <color theme="1"/>
        <rFont val="Aptos Narrow"/>
        <family val="2"/>
        <scheme val="minor"/>
      </rPr>
      <t xml:space="preserve"> (e.g., billing data retained for 7 years, events for 2). The SI will implement purge and archival logic based on these business rules.</t>
    </r>
  </si>
  <si>
    <t>Retention policies are system-enforced and regulatory; need inclusion in BRD.</t>
  </si>
  <si>
    <t>Manage advanced analytics and AI</t>
  </si>
  <si>
    <t>Develop and train AI/ML models</t>
  </si>
  <si>
    <t>Build AI models for forecasting, fault detection, and load disaggregation using AMI and DER data.</t>
  </si>
  <si>
    <t>Use Case 7 – Long-Term Grid Planning, Use Case 10 – Performance and Health of Distribution System Assets</t>
  </si>
  <si>
    <t>Why did we decide to say this is IT Release 2? SCE says UC 7 and UC 10 could be 1 and 2</t>
  </si>
  <si>
    <t>UC 7 and UC 10 both have early-stage analytics in Release 1 (trend reporting), but AI/ML model development begins only after sufficient AMI data volume exists. Training requires historical data typically unavailable until mid-program.</t>
  </si>
  <si>
    <t>Keep as-is; AI enablement is realistically post-foundation (Release 2).</t>
  </si>
  <si>
    <t>Deploy and monitor analytical models for drift</t>
  </si>
  <si>
    <t>Deploy models to production, monitor for drift, and retrain as performance degrades.</t>
  </si>
  <si>
    <t>Use Case 7 – Long-Term Grid Planning, Use Case 13 – Post Event Analysis</t>
  </si>
  <si>
    <t>Maintain model registry and retraining pipeline</t>
  </si>
  <si>
    <t>Maintain an inventory of deployed models and automate retraining cycles.</t>
  </si>
  <si>
    <t>Use Case 7 – Long-Term Grid Planning</t>
  </si>
  <si>
    <t>Provide self-service analytics tools</t>
  </si>
  <si>
    <t>Enable authorized users to explore AMI data through governed self-service analytics platforms.</t>
  </si>
  <si>
    <t>Use Case 6 – 3rd Party Meter Data Access, Use Case 7 – Long-Term Grid Planning</t>
  </si>
  <si>
    <t>Monitor storage utilization and optimize performance</t>
  </si>
  <si>
    <t>Track and optimize data storage and retrieval performance across on-premise and cloud environments.</t>
  </si>
  <si>
    <r>
      <t xml:space="preserve">You’d capture </t>
    </r>
    <r>
      <rPr>
        <i/>
        <sz val="11"/>
        <color theme="1"/>
        <rFont val="Aptos Narrow"/>
        <family val="2"/>
        <scheme val="minor"/>
      </rPr>
      <t>business-driven performance expectations</t>
    </r>
    <r>
      <rPr>
        <sz val="11"/>
        <color theme="1"/>
        <rFont val="Aptos Narrow"/>
        <family val="2"/>
        <scheme val="minor"/>
      </rPr>
      <t xml:space="preserve"> — e.g., maximum data latency for analytics queries, or required availability metrics. Not the technical tuning methods.</t>
    </r>
  </si>
  <si>
    <t>Keep if SCE expects defined service levels (e.g., &lt;2-sec dashboard query); remove otherwise.</t>
  </si>
  <si>
    <t>Manage data archival and retrieval</t>
  </si>
  <si>
    <t>Archive aged AMI data for cost management while ensuring accessibility for audits or analytics.</t>
  </si>
  <si>
    <t>Manage regulatory and market data reporting</t>
  </si>
  <si>
    <t>Define and interpret regulatory reporting requirements</t>
  </si>
  <si>
    <t>Translate CPUC and CAISO requirements into structured AMI data reporting specifications.</t>
  </si>
  <si>
    <t>Extract, validate, and submit regulatory datasets</t>
  </si>
  <si>
    <t>Generate and submit AMI datasets to regulators and market participants.</t>
  </si>
  <si>
    <t>Track submissions and resolve exceptions</t>
  </si>
  <si>
    <t>Track report submissions and resolve rejections or data exceptions.</t>
  </si>
  <si>
    <t>Monitor and implement regulatory changes</t>
  </si>
  <si>
    <t>Track new or updated reporting requirements and adjust reporting logic accordingly.</t>
  </si>
  <si>
    <t>Forecast meter and network device demand</t>
  </si>
  <si>
    <t>Estimate meter and communication device needs based on deployment schedules, replacement rates, and growth forecasts.</t>
  </si>
  <si>
    <t>Issue meter and network device purchase orders</t>
  </si>
  <si>
    <t>Manage purchase orders and vendor coordination for approved metering and communication equipment.</t>
  </si>
  <si>
    <t>Procure meters and network devices</t>
  </si>
  <si>
    <t>Manage procurement of meters and network equipment from approved vendors.</t>
  </si>
  <si>
    <t>Receive, inspect, and validate meter and network device shipments for conformance with specifications.</t>
  </si>
  <si>
    <t>Record unique device identifiers and link assets across asset management, CIS, and MDMS systems.</t>
  </si>
  <si>
    <t>Handle warranty returns, refurbishment cycles, and inventory reconciliation of defective or decommissioned network devices.</t>
  </si>
  <si>
    <t>Manage returns, warranty, and refurbishment (metering devices)</t>
  </si>
  <si>
    <t>Handle warranty returns, refurbishment cycles, and inventory reconciliation of defective or decommissioned metering devices.</t>
  </si>
  <si>
    <t>Maintain real-time visibility of meters and network devices through storage, staging, and field issue processes.</t>
  </si>
  <si>
    <t>Validate consistency between warehouse, MIV, and field inventories.</t>
  </si>
  <si>
    <t>Manage MIV plan and synchronization</t>
  </si>
  <si>
    <t>Maintain MIV job plans and ensure synchronization of deployment data between MIV and enterprise systems.</t>
  </si>
  <si>
    <t>Handle CIS-to-MIV file and interface exceptions</t>
  </si>
  <si>
    <t>Detect and correct MIV file transfer or format errors to maintain deployment data integrity.</t>
  </si>
  <si>
    <t>Inform customers of upcoming installation dates and access requirements through preferred communication channels.</t>
  </si>
  <si>
    <t>Assign and execute installation work orders</t>
  </si>
  <si>
    <t>Dispatch and complete meter installation work orders via MIV or contractor systems, updating all related records.</t>
  </si>
  <si>
    <t>Record job completion, capture installer performance data, and synchronize updates across enterprise systems.</t>
  </si>
  <si>
    <t>Oversee refurbishment or environmentally compliant disposal of obsolete meters devices removed by MIV.</t>
  </si>
  <si>
    <t>Notify customers upon successful installation and provide usage education or contact information for support.</t>
  </si>
  <si>
    <t>Detect and categorize deployment exceptions</t>
  </si>
  <si>
    <t>Identify and classify installation exceptions such as access issues, data mismatches, or device failures.</t>
  </si>
  <si>
    <t>Cross-check installation completion data between MIV, MDMS, and CIS for consistency.</t>
  </si>
  <si>
    <t>Ingest and validate interval and event data (HES)</t>
  </si>
  <si>
    <t>Collect and validate usage, voltage, and event data from AMI head-end systems to ensure completeness and accuracy.</t>
  </si>
  <si>
    <t>Use Case 1 – Meter-to-Cash
Use Case 10 – Performance and Health of Distribution System Assets</t>
  </si>
  <si>
    <t>In Release 1, validation rules focus on 15/60-minute kWh data for billing completeness. In Release 2, the scope expands to high-frequency Grid Management data (Voltage, Power Quality), which requires different validation logic (e.g., voltage limits vs. usage limits) not present in R1.</t>
  </si>
  <si>
    <t>Resolve data gaps and anomalies (HES)</t>
  </si>
  <si>
    <t>Detect and correct missing or inconsistent AMI data to maintain billing and analytics integrity.</t>
  </si>
  <si>
    <t>Similar to above, resolving gaps in billing data (R1) is mandatory for revenue; resolving gaps in Grid data (R2) follows different business rules (e.g., interpolating voltage for planning vs. estimating usage for billing).</t>
  </si>
  <si>
    <t>Store validated data in MDMS and analytics repositories</t>
  </si>
  <si>
    <t>Persist cleansed and verified AMI data into MDMS and enterprise data platforms for consumption by downstream systems.</t>
  </si>
  <si>
    <t>Validate and estimate missing data (VEE)</t>
  </si>
  <si>
    <t>Validate, estimate, or edit interval data where gaps or anomalies exist to ensure complete and accurate billing determinants.</t>
  </si>
  <si>
    <t>Resolve VEE Exceptions &amp; Complex Estimations</t>
  </si>
  <si>
    <t>Manually investigate and resolve interval data exceptions that fail automated VEE rules, applying human judgment or forced estimates.</t>
  </si>
  <si>
    <t>The human workflow changes in Release 2. Analysts must now adjudicate data exceptions that impact Grid Operations (e.g., "Is this voltage sag real?") rather than just billing accuracy.</t>
  </si>
  <si>
    <t>Identify meters drawing load post-disconnect and flag for investigation.</t>
  </si>
  <si>
    <t>Calculate and validate interval-based bills</t>
  </si>
  <si>
    <t>Identify and flag meters recording usage during periods where the premise status is "Inactive" or "Disconnected" in the CIS (e.g., Squatters or clerical errors).</t>
  </si>
  <si>
    <t>Configure and maintain allocation percentages between generating accounts and benefiting accounts to ensure accurate credit distribution.</t>
  </si>
  <si>
    <t>Use Case 1 – Meter-to-Cash
UC 2: Optimizing Energy Savings
UC 7: Long-Term Grid Planning</t>
  </si>
  <si>
    <t>Establish and maintain the linkage between a principal generating account and multiple aggregated usage accounts for unified billing settlement.</t>
  </si>
  <si>
    <t>Produce and issue customer bills through print and electronic delivery channels, ensuring timely distribution and compliance.</t>
  </si>
  <si>
    <t>Manage billing exceptions and rebills</t>
  </si>
  <si>
    <t>Identify, investigate, and resolve billing errors or anomalies to maintain billing accuracy and customer trust.</t>
  </si>
  <si>
    <t>Correct previously issued bills due to meter, data, or rate errors and reissue accurate versions.</t>
  </si>
  <si>
    <t>Model and recommend personalized rate plans</t>
  </si>
  <si>
    <t>Analyze usage and behavioral data to recommend optimal rate structures or incentives for customers.</t>
  </si>
  <si>
    <t>Simulate customer bill impacts</t>
  </si>
  <si>
    <t>Estimate and communicate bill impacts of rate plan changes or program participation.</t>
  </si>
  <si>
    <r>
      <t xml:space="preserve">Release 1 simulations are static comparisons of rate plans. Release 3 introduces "Customer-driven load management" (BTM Control), requiring the simulation engine to account for </t>
    </r>
    <r>
      <rPr>
        <i/>
        <sz val="11"/>
        <color theme="1"/>
        <rFont val="Aptos Narrow"/>
        <family val="2"/>
        <scheme val="minor"/>
      </rPr>
      <t>dynamic</t>
    </r>
    <r>
      <rPr>
        <sz val="11"/>
        <color theme="1"/>
        <rFont val="Aptos Narrow"/>
        <family val="2"/>
        <scheme val="minor"/>
      </rPr>
      <t xml:space="preserve"> utility interventions and demand response events.</t>
    </r>
  </si>
  <si>
    <t>Calculate baseline usage (CBL) and performance metrics for DR events to determine financial settlement/credits distinct from standard billing.</t>
  </si>
  <si>
    <t>Use Case 3- Improve Customer Experience</t>
  </si>
  <si>
    <t>Configure panel capacity thresholds and safe-loading limits in the back-office system to enable "Panel Upgrade Avoidance" logic at the edge.</t>
  </si>
  <si>
    <t>UC 3: Improve Customer Experience
UC 7: Long-Term Grid Planning</t>
  </si>
  <si>
    <t>Detect Meter Tampering &amp; Energy Diversion</t>
  </si>
  <si>
    <t>Analyze meter alarms, magnetic sensors, and usage patterns to identify physical tampering, bypass mechanisms, or energy diversion.</t>
  </si>
  <si>
    <t>Investigate and resolve revenue loss cases</t>
  </si>
  <si>
    <t>Conduct data-driven and field investigations to confirm theft or loss and take corrective action.</t>
  </si>
  <si>
    <t>Report revenue protection KPIs and trends</t>
  </si>
  <si>
    <t>Track and report performance of theft detection and revenue recovery programs.</t>
  </si>
  <si>
    <t>Deliver disaggregated energy insights and usage summaries to customers through digital channels.</t>
  </si>
  <si>
    <t>Handle AMI-related customer inquiries</t>
  </si>
  <si>
    <t>Respond to customer questions related to metering data, usage, and AMI benefits.</t>
  </si>
  <si>
    <t>Escalate unresolved AMI cases and close tickets</t>
  </si>
  <si>
    <t>Escalate unresolved cases to appropriate support tiers and ensure timely closure.</t>
  </si>
  <si>
    <t>Investigate and correct discrepancies between AMI interval data, MDMS values, and CIS billing determinants to ensure accurate billing before finalization.</t>
  </si>
  <si>
    <t>Authenticate customer data requests (Green Button)</t>
  </si>
  <si>
    <t>Verify credentials and authorization for customers and approved third parties requesting usage or generation data.</t>
  </si>
  <si>
    <t>Provide secure consumption data and reports (Green Button)</t>
  </si>
  <si>
    <t>Generate and deliver usage and generation reports through secure channels or APIs.</t>
  </si>
  <si>
    <t>Monitor API usage and maintain audit logs (Green Button)</t>
  </si>
  <si>
    <t>Track and log third-party API usage to ensure compliance and detect misuse.</t>
  </si>
  <si>
    <t>Aggregate and Transmit Wholesale Settlement Data</t>
  </si>
  <si>
    <t>Aggregating validated interval data by load profile and jurisdiction to submit to the ISO/RTO for wholesale market settlement.</t>
  </si>
  <si>
    <t>Calculate Unaccounted for Energy (UFE)</t>
  </si>
  <si>
    <t>Compare total substation/feeder energy inputs against aggregated meter consumption to identify system losses or measurement errors.</t>
  </si>
  <si>
    <t>Record customer opt-out requests prior to installation and update MIV deployment schedules to exclude the premise from mass installation.</t>
  </si>
  <si>
    <t>Process opt-out requests for existing AMI customers and trigger field work orders to exchange the smart meter for a non-communicating device.</t>
  </si>
  <si>
    <t>Remotely disable meter communications for customers who have opted out.</t>
  </si>
  <si>
    <t>Re-enable meter communications for customers who rejoin AMI programs after opting out.</t>
  </si>
  <si>
    <t>Process opt-out customer move-in / move-out events</t>
  </si>
  <si>
    <t>Update enrollment and billing settings when opt-out customers move into or out of premises.</t>
  </si>
  <si>
    <t>Validate communication and registration of newly installed meters with the head-end and MDMS systems.</t>
  </si>
  <si>
    <t>Confirm that newly installed meters are correctly provisioned, communicating, and fully validated in the MDMS so they are ready to generate billable usage.</t>
  </si>
  <si>
    <t>Coordinate installation, maintenance, and retirement of network access points or routers supporting AMI communications.</t>
  </si>
  <si>
    <t>Remove obsolete or faulty network access points or routers and update network configuration.</t>
  </si>
  <si>
    <t>Perform meter exchange and re-commissioning</t>
  </si>
  <si>
    <t>Replace existing meters with AMI 2.0 devices and ensure proper deregistration, provisioning, and validation of new assets.</t>
  </si>
  <si>
    <t>Same logic as commissioning. Replacing a meter in Release 2 requires ensuring the new asset is provisioned on the Permanent DI Hub, which is a different backend step than Release 1.</t>
  </si>
  <si>
    <t>Execute meter installations as part of new service connections or replacements outside of mass deployment.</t>
  </si>
  <si>
    <t>Perform meter exchange and commissioning</t>
  </si>
  <si>
    <t>Replace and commission meters for maintenance, testing, or upgrade purposes ensuring communication and billing readiness.</t>
  </si>
  <si>
    <t>Remove meters from service, ensure final reads, and update all related systems.</t>
  </si>
  <si>
    <t>Conduct meter investigations</t>
  </si>
  <si>
    <t>Dispatch field investigations for customer complaints, abnormal reads, or communication failures.</t>
  </si>
  <si>
    <t>Use Case 4 – Revenue Protection, Use Case 10 – Performance and Health of Distribution System Assets</t>
  </si>
  <si>
    <t>Manage remote disconnect and reconnect</t>
  </si>
  <si>
    <t>Perform remote disconnect / reconnect for move-out or move-in</t>
  </si>
  <si>
    <t>Execute and validate remote meter disconnect or reconnect commands in coordination with CIS and MDMS.</t>
  </si>
  <si>
    <t>Execute remote disconnect commands for delinquent accounts following compliance and notification procedures.</t>
  </si>
  <si>
    <t>Validate payment, execute remote reconnect command, and verify service restoration.</t>
  </si>
  <si>
    <t>Perform remote disconnect / reconnect for move-in or move-out</t>
  </si>
  <si>
    <t>Execute remote meter operations for customer occupancy changes in coordination with CIS.</t>
  </si>
  <si>
    <t>Detect and validate outage events via AMI telemetry</t>
  </si>
  <si>
    <t>Identify outages from AMI last-gasp signals, validate through multiple data sources, and flag confirmed events.</t>
  </si>
  <si>
    <t>Cluster and prioritize outage events for dispatch</t>
  </si>
  <si>
    <t>Group and prioritize outages by severity, location, and customer impact to optimize restoration resources.</t>
  </si>
  <si>
    <t>Coordinate field and customer service alignment during outages</t>
  </si>
  <si>
    <t>Ensure consistent information between field operations and call centers regarding outage status and restoration progress.</t>
  </si>
  <si>
    <t>Verify restoration and update OMS</t>
  </si>
  <si>
    <t>Confirm restoration events by validating power status with AMI telemetry and update OMS and customer communication systems with authoritative restoration status.</t>
  </si>
  <si>
    <t>Release 2 establishes standard restoration verification. Release 3 introduces "Controlled Switching/Restoration," which requires a more complex, staged verification workflow involving BTM loads.</t>
  </si>
  <si>
    <t>Send real-time outage and restoration status updates to impacted customers through preferred communication channels.</t>
  </si>
  <si>
    <t>Use Case 3 – Improve Customer Experience, Use Case 5 – Advanced Outage Identification and Location Awareness</t>
  </si>
  <si>
    <t>Release 2 covers standard outage comms. Release 3 retouches this to include notifications related to "Customer-driven load management" (e.g., specific load shedding events).</t>
  </si>
  <si>
    <t>Perform targeted AMI pings to assess outage boundaries or diagnose partial restoration conditions without triggering formal OMS restoration updates.</t>
  </si>
  <si>
    <t>Collect and analyze feeder and transformer load data to detect overloads or unbalanced conditions.</t>
  </si>
  <si>
    <t>Release 1 provides basic aggregation for visibility. Release 2 (Analytics) adds predictive health scoring and thermal analysis, requiring a process update.</t>
  </si>
  <si>
    <t>Trigger corrective switching actions</t>
  </si>
  <si>
    <t>Initiate manual or automated switching actions to balance loads or prevent overloads. Focuses on preventive or load-balancing switching—before a fault or outage occurs. Driven by feeder or transformer load monitoring.</t>
  </si>
  <si>
    <t>Execute validated switching commands</t>
  </si>
  <si>
    <t>Perform operator-approved switching and restoration commands to safely restore service. Focuses on reactive switching to restore power after an outage or network event. Actions are operator-initiated and validated before execution.</t>
  </si>
  <si>
    <t>Monitor and verify controlled restoration sequence</t>
  </si>
  <si>
    <t>Validate staged restoration progress using AMI telemetry and update system status in OMS. Focuses on post-switching verification—ensuring restoration proceeded as planned and customers are re-energized safely. Uses AMI telemetry to confirm.</t>
  </si>
  <si>
    <t>Monitor voltage, frequency, and harmonics from AMI data to identify power quality deviations.</t>
  </si>
  <si>
    <t>Release 1 is monitoring/reporting. Release 2 retouches this to include closed-loop control (Triggering regulator adjustments) via the enhanced grid management systems.</t>
  </si>
  <si>
    <t>Categorize power quality events (sags, swells, harmonics) and report them to grid operations for resolution.</t>
  </si>
  <si>
    <t>Trigger voltage regulator or capacitor adjustments</t>
  </si>
  <si>
    <t>Recommend or automatically trigger voltage regulation adjustments based on AMI measurements.</t>
  </si>
  <si>
    <t>I n Release 2, the system enables Grid Management analytics. The process here is likely "Open Loop"—the system analyzes the data and recommends an adjustment to an operator. Release 3 (Control/BTM): Release 3 focuses on "Customer-driven load management" and "Behind-the-Meter control." The process must be retouched to account for Closed Loop automation (where the system acts automatically) and to integrate the impact of Distributed Energy Resources (DERs) into the regulation logic.</t>
  </si>
  <si>
    <t>Monitor real-time temperature alarms from meters, validate "Hot Socket" conditions, and trigger immediate safety disconnects or field dispatches.</t>
  </si>
  <si>
    <t>UC 8: Anomaly &amp; Fault Detection BTM
UC 5: Advanced Outage Identification</t>
  </si>
  <si>
    <t>Release 1 uses basic alarms. Release 2 applies advanced analytics (impedance monitoring) to filter false positives, changing the "Respond" workflow.</t>
  </si>
  <si>
    <t>Analyze voltage and impedance data to detect "Loose Neutral" conditions and prioritize field investigation to prevent equipment damage.</t>
  </si>
  <si>
    <t>UC 8: Anomaly &amp; Fault Detection BTM
UC 10: Performance &amp; Health of Dist. System</t>
  </si>
  <si>
    <t>Detect load patterns associated with EV charging to enhance load forecasting and grid planning.</t>
  </si>
  <si>
    <t>Detect rooftop solar and battery generation</t>
  </si>
  <si>
    <t>Identify customer-installed DER generation events using AMI interval and harmonic data.</t>
  </si>
  <si>
    <t>Compare detected generation signatures against known interconnection records to identify unauthorized solar or storage back-feeding.</t>
  </si>
  <si>
    <t>UC 8: Anomaly &amp; Fault Detection BTM
UC 4: Revenue Protection</t>
  </si>
  <si>
    <t>Analyze BTM load data with customer profiles to refine forecasting and anomaly detection.</t>
  </si>
  <si>
    <t>Establish Meter-to-Transformer Topology</t>
  </si>
  <si>
    <t>Analyze meter voltage correlation data to determine the parent-child physical link between meters and service transformers.</t>
  </si>
  <si>
    <t>Monitor and validate connectivity model accuracy</t>
  </si>
  <si>
    <t>Continuously verify connectivity accuracy using AMI and GIS data feedback.</t>
  </si>
  <si>
    <t>Release 2 (Discovery): This release establishes the "Improved network topology model" using AMI data to find static errors (e.g., "Meter A is actually on Phase B"). Release 3 (Forensic Feedback): Release 3 enables Use Case 13 (Post Event Analysis). The process must be retouched to create a feedback loop where Outage Root Cause Analysis is used to permanently validate and correct the connectivity model (e.g., "We confirmed the phase during the outage restoration, now update the model").</t>
  </si>
  <si>
    <t>Analyze voltage angle data or signal injection results to identify and correct mislabeled electrical phases (A/B/C) in the GIS model.</t>
  </si>
  <si>
    <t>Integrate connectivity model with outage and DER tools</t>
  </si>
  <si>
    <t>Provide real-time connectivity data to outage and DER planning applications for situational awareness.</t>
  </si>
  <si>
    <t>Detect incipient faults in distribution components</t>
  </si>
  <si>
    <t>Identify early failure indicators in transformers, capacitors, or cables using AMI power quality data.</t>
  </si>
  <si>
    <t>Release 2 (Detection): The "Permanent DI Hub" and analytics deployed in Release 2 provide the capability to detect the signatures of failing equipment (e.g., a dying transformer). Release 3 (Tuning): To support Use Case 13 (Post Event Analysis), the detection algorithms must be retouched to incorporate "Ground Truth" data from actual failures. The process shifts from "Detecting" to "Tuning the Model based on Forensic Evidence."</t>
  </si>
  <si>
    <t>Correlate AMI data with other sensor inputs</t>
  </si>
  <si>
    <t>Integrate AMI-derived fault indicators with SCADA or IoT sensors for improved fault localization.</t>
  </si>
  <si>
    <t>Prioritize maintenance for at-risk assets</t>
  </si>
  <si>
    <t>Generate maintenance recommendations for assets showing early fault conditions.</t>
  </si>
  <si>
    <t>Use Case 15 – Fault &amp; Incipient Fault Identification on the Distribution System, Use Case 10 – Performance and Health of Distribution System Assets</t>
  </si>
  <si>
    <t>Release 2 (Operational): Prioritization is based on the immediate health scores generated by the Release 2 analytics. Release 3 (Strategic): Release 3 enables Use Case 7 (Long-Term Grid Planning). The prioritization process must be retouched to align asset health data with long-term capital planning and load forecasting models, moving from "Fix it now" to "Plan the replacement."</t>
  </si>
  <si>
    <t>Request and analyze high-resolution waveform captures (pre/post event) to determine the specific electrical signature of complex faults.</t>
  </si>
  <si>
    <t>UC 10: Performance &amp; Health of Dist. System
UC 13: Post Event Analysis</t>
  </si>
  <si>
    <t>Release 2 (Real-time/Safety): Waveforms are used here primarily for Use Case 10 (Performance &amp; Health) and Safety (e.g., detecting a live wire). The analysis is focused on immediate operational status. Release 3 (Forensic): This enables Use Case 13 (Post Event Analysis). The process changes fundamentally from "Real-time assessment" to "Retrospective Forensic Analysis" to determine why a fault occurred, often requiring deeper, offline analysis of the same waveform data.</t>
  </si>
  <si>
    <t>Reconstruct outage and restoration sequences</t>
  </si>
  <si>
    <t>Analyze AMI, OMS, and SCADA data to reconstruct outage events and restoration timelines.</t>
  </si>
  <si>
    <t>Identify root causes of faults or outages</t>
  </si>
  <si>
    <t>Determine likely causes of outages or power quality events through data correlation and analytics.</t>
  </si>
  <si>
    <t>Document and close event investigations</t>
  </si>
  <si>
    <t>Record findings, corrective actions, and lessons learned from outage investigations.</t>
  </si>
  <si>
    <t>Collect and monitor non-electrical telemetry (e.g., ambient temperature, seismic activity, air quality) from capable AMI devices to support grid planning and public safety initiatives.</t>
  </si>
  <si>
    <t>Manage device OS firmware and configuration</t>
  </si>
  <si>
    <t>Plan and schedule firmware upgrades</t>
  </si>
  <si>
    <t>Schedule and execute firmware updates to maintain meter and network device compliance and functionality.</t>
  </si>
  <si>
    <t>Validate firmware deployment success</t>
  </si>
  <si>
    <t>Verify successful firmware deployment and device connectivity following updates.</t>
  </si>
  <si>
    <t>Manage meter quality and compliance</t>
  </si>
  <si>
    <t>Track the expiration and renewal of device security certificates (LDevID) to ensure no asset becomes orphaned due to credential expiry.</t>
  </si>
  <si>
    <t>UC 14: AMI 2.0 Interoperability
UC 4: Revenue Protection</t>
  </si>
  <si>
    <t>Perform real-time meter read or ping commands to verify meter connectivity or resolve exceptions.</t>
  </si>
  <si>
    <t>Send diagnostic commands to validate meter health or confirm firmware behavior.</t>
  </si>
  <si>
    <t>Monitor meter reliability, communication stability, and recurring issue patterns.</t>
  </si>
  <si>
    <t>Configure Distributed Intelligence (DI) Application Logic</t>
  </si>
  <si>
    <t>Define and tune business parameters for edge applications (e.g., EV detection sensitivity, waveform capture triggers) to align with grid operation goals.</t>
  </si>
  <si>
    <t>Monitor Edge Application Runtime Performance</t>
  </si>
  <si>
    <t>Monitor the operational health, resource consumption (CPU/Memory), and data latency of specific edge applications to ensure they are running effectively on the meter.</t>
  </si>
  <si>
    <t>Manage Edge AI Model &amp; App Lifecycle</t>
  </si>
  <si>
    <t>Coordinate the versioning, testing, and deployment of updated AI models and application binaries (e.g., new appliance signatures) independent of base meter firmware.</t>
  </si>
  <si>
    <t>Authenticate and authorize third-party data requests</t>
  </si>
  <si>
    <t>Verify credentials and enforce access permissions for third-party data consumers.</t>
  </si>
  <si>
    <t>Transmit datasets securely to authorized third parties</t>
  </si>
  <si>
    <t>Transfer AMI datasets through secure API channels in compliance with privacy and cybersecurity standards.</t>
  </si>
  <si>
    <t>Monitor API usage and maintain audit logs (Third Party)</t>
  </si>
  <si>
    <t>Transfer validated AMI datasets to the enterprise data lake for use in analytics and data science.</t>
  </si>
  <si>
    <t>Correlate operational events to identify cross-domain dependencies and performance insights.</t>
  </si>
  <si>
    <t>Use Case 13 – Post Event Analysis, Use Case 14 – AMI 2.0 Interoperability</t>
  </si>
  <si>
    <t>Examine AMI-generated events (alarms, last-gasp, reconnects) to derive actionable insights.</t>
  </si>
  <si>
    <t>Use Case 13 – Post Event Analysis, Use Case 5 – Advanced Outage Identification and Location Awareness</t>
  </si>
  <si>
    <t>Enforce access control and data encryption to secure AMI data at rest and in transit.</t>
  </si>
  <si>
    <t>Define and maintain the business logic for meter groups (e.g., "Fire Risk Zones," "EV Users") used to target firmware, configurations, and commands.</t>
  </si>
  <si>
    <t>UC 14: AMI 2.0 Interoperability
UC 3: Improve Customer Experience</t>
  </si>
  <si>
    <t>Create and maintain dashboards to visualize AMI performance, reliability, and customer insights.</t>
  </si>
  <si>
    <t>Use Case 13 – Post Event Analysis, Use Case 18 – Grid Ops: Situational Awareness</t>
  </si>
  <si>
    <t>Automate generation and distribution of recurring performance and compliance reports.</t>
  </si>
  <si>
    <t>Detect inconsistencies between AMI, OMS, and SCADA data to enhance reliability.</t>
  </si>
  <si>
    <t>Use Case 13 – Post Event Analysis, Use Case 15 – Fault &amp; Incipient Fault Identification on the Distribution System</t>
  </si>
  <si>
    <t xml:space="preserve">Receiving &amp; Testing </t>
  </si>
  <si>
    <t xml:space="preserve">Receiving &amp; Testing, (L+G MMF file) </t>
  </si>
  <si>
    <t>Procurement (partially)</t>
  </si>
  <si>
    <t>Use Case 8 – Anomaly &amp; Fault Detection BTM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</si>
</sst>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1F1F1F"/>
      <name val="Arial"/>
      <family val="2"/>
    </font>
    <font>
      <b/>
      <sz val="11"/>
      <color rgb="FF1F1F1F"/>
      <name val="Arial"/>
      <family val="2"/>
    </font>
    <font>
      <sz val="11"/>
      <color theme="1"/>
      <name val="Arial"/>
      <family val="2"/>
    </font>
    <font>
      <sz val="8"/>
      <name val="Aptos Narrow"/>
      <family val="2"/>
      <scheme val="minor"/>
    </font>
    <font>
      <b/>
      <sz val="11"/>
      <color rgb="FF000000"/>
      <name val="EYInterstate Light"/>
    </font>
    <font>
      <sz val="11"/>
      <color rgb="FF000000"/>
      <name val="EYInterstate Light"/>
    </font>
  </fonts>
  <fills count="3">
    <fill>
      <patternFill patternType="none"/>
    </fill>
    <fill>
      <patternFill patternType="gray125"/>
    </fill>
    <fill>
      <patternFill patternType="solid">
        <fgColor rgb="FFD1D1D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747480"/>
      </left>
      <right style="medium">
        <color rgb="FF747480"/>
      </right>
      <top style="medium">
        <color rgb="FF747480"/>
      </top>
      <bottom style="thick">
        <color rgb="FF666666"/>
      </bottom>
      <diagonal/>
    </border>
    <border>
      <left/>
      <right style="medium">
        <color rgb="FF747480"/>
      </right>
      <top style="medium">
        <color rgb="FF747480"/>
      </top>
      <bottom style="thick">
        <color rgb="FF666666"/>
      </bottom>
      <diagonal/>
    </border>
    <border>
      <left style="medium">
        <color rgb="FF747480"/>
      </left>
      <right style="medium">
        <color rgb="FF747480"/>
      </right>
      <top/>
      <bottom style="medium">
        <color rgb="FF747480"/>
      </bottom>
      <diagonal/>
    </border>
    <border>
      <left/>
      <right style="medium">
        <color rgb="FF747480"/>
      </right>
      <top/>
      <bottom style="medium">
        <color rgb="FF747480"/>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0" fontId="3" fillId="0" borderId="1" xfId="0" applyFont="1" applyBorder="1" applyAlignment="1">
      <alignment vertical="center" wrapText="1" readingOrder="1"/>
    </xf>
    <xf numFmtId="0" fontId="3" fillId="0" borderId="2" xfId="0" applyFont="1" applyBorder="1" applyAlignment="1">
      <alignment vertical="center" wrapText="1" readingOrder="1"/>
    </xf>
    <xf numFmtId="0" fontId="5" fillId="0" borderId="1" xfId="0" applyFont="1" applyBorder="1" applyAlignment="1">
      <alignment vertical="center" wrapText="1" readingOrder="1"/>
    </xf>
    <xf numFmtId="0" fontId="7" fillId="2" borderId="3" xfId="0" applyFont="1" applyFill="1" applyBorder="1" applyAlignment="1">
      <alignment vertical="center" wrapText="1"/>
    </xf>
    <xf numFmtId="0" fontId="7" fillId="2" borderId="5" xfId="0" applyFont="1" applyFill="1" applyBorder="1" applyAlignment="1">
      <alignment vertical="center" wrapText="1"/>
    </xf>
    <xf numFmtId="49" fontId="7" fillId="0" borderId="4"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0" fontId="3" fillId="0" borderId="1" xfId="0" applyFont="1" applyBorder="1" applyAlignment="1">
      <alignment horizontal="left" vertical="center" wrapText="1" readingOrder="1"/>
    </xf>
    <xf numFmtId="0" fontId="4" fillId="0" borderId="1"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Tony Calabro" id="{E164CD4D-F60A-4122-8809-9E91BD6DDA59}" userId="S::Tony.Calabro@ey.com::1559027e-7fee-4795-b2ff-4998584920b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ny Calabro" refreshedDate="45992.533690162039" createdVersion="8" refreshedVersion="8" minRefreshableVersion="3" recordCount="106" xr:uid="{DCE9D4D1-60AF-4CA9-896D-C7FDA77BEEFA}">
  <cacheSource type="worksheet">
    <worksheetSource ref="A1:H107" sheet="Process Hierarchy"/>
  </cacheSource>
  <cacheFields count="8">
    <cacheField name="L1 Process Name" numFmtId="0">
      <sharedItems/>
    </cacheField>
    <cacheField name="L2 Process Name" numFmtId="0">
      <sharedItems/>
    </cacheField>
    <cacheField name="L3 Process Name" numFmtId="0">
      <sharedItems/>
    </cacheField>
    <cacheField name="L3 Process Objective" numFmtId="0">
      <sharedItems longText="1"/>
    </cacheField>
    <cacheField name="Use Case Mapping" numFmtId="0">
      <sharedItems/>
    </cacheField>
    <cacheField name="IT Release" numFmtId="0">
      <sharedItems count="7">
        <s v="IT Release 1"/>
        <s v="IT Release 2"/>
        <s v="IT Release 1 (retouched in IT Release 2)"/>
        <s v="IT Release 3"/>
        <s v="IT Release 2 (retouched in IT Release 3)"/>
        <s v="IT Release 1 (retouched in IT Release 3)"/>
        <s v="IT Release 1 (retouched in IT Release 2 and 3)"/>
      </sharedItems>
    </cacheField>
    <cacheField name="Retouch Rationale" numFmtId="0">
      <sharedItems containsBlank="1" longText="1"/>
    </cacheField>
    <cacheField name="BRD Siz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s v="Meter Asset Management"/>
    <s v="Procure and manage metering assets"/>
    <s v="Plan and Procure Metering Assets"/>
    <s v="Analyze deployment schedules, replacement rates, and network growth to forecast device demand, and execute necessary procurement actions, including purchase order issuance and vendor coordination, to ensure adequate inventory supply."/>
    <s v="Foundational – Not Directly Mapped to SCE Use Case"/>
    <x v="0"/>
    <s v="N/A"/>
    <s v="Medium"/>
  </r>
  <r>
    <s v="Meter Asset Management"/>
    <s v="Procure and manage metering assets"/>
    <s v="Receive and inspect delivered assets"/>
    <s v="Receive, inspect, and validate meter and network device shipments for conformance with specifications."/>
    <s v="Foundational – Not Directly Mapped to SCE Use Case"/>
    <x v="0"/>
    <s v="N/A"/>
    <s v="Small"/>
  </r>
  <r>
    <s v="Meter Asset Management"/>
    <s v="Procure and manage metering assets"/>
    <s v="Register devices in asset and head-end systems"/>
    <s v="Record unique device identifiers and link assets across asset management, CIS, and MDMS systems."/>
    <s v="Use Case 14 – AMI 2.0 Interoperability"/>
    <x v="0"/>
    <s v="N/A"/>
    <s v="Medium"/>
  </r>
  <r>
    <s v="Meter Asset Management"/>
    <s v="Manage inventory and warehousing"/>
    <s v="Track warehouse inventory and movements"/>
    <s v="Manage the physical location and status of assets within the warehouse (e.g., staging, quarantine) and ensures that any changes in asset condition or availability are automatically propagated to the Head-End System and other integrated IT platforms. This ensures only available, healthy assets are released for deployment."/>
    <s v="Foundational – Not Directly Mapped to SCE Use Case"/>
    <x v="0"/>
    <s v="N/A"/>
    <s v="Small"/>
  </r>
  <r>
    <s v="Meter Asset Management"/>
    <s v="Manage inventory and warehousing"/>
    <s v="Reconcile field inventory and system counts"/>
    <s v="Perform comprehensive periodic audits to balance total asset quantities across utility warehouses, vendor (MIV) storage, and deployed field locations against central system records. This process identifies lost, stolen, or unaccounted-for assets that are not captured by individual installation transactions."/>
    <s v="Foundational – Not Directly Mapped to SCE Use Case"/>
    <x v="0"/>
    <s v="N/A"/>
    <s v="Medium"/>
  </r>
  <r>
    <s v="Meter Asset Management"/>
    <s v="Manage returns and warranty"/>
    <s v="Manage Vendor Warranty Claims and Returns"/>
    <s v="Manage the commercial lifecycle of metering devices under warranty, including validating warranty status, executing return merchandise authorization (RMA) shipments to the vendor, and reconciling financial credits or replacement asset receipts."/>
    <s v="Foundational – Not Directly Mapped to SCE Use Case"/>
    <x v="0"/>
    <s v="N/A"/>
    <s v="Medium"/>
  </r>
  <r>
    <s v="Meter Asset Management"/>
    <s v="Manage returns and warranty"/>
    <s v="Manage Meter Refurbishment and Testing Cycles"/>
    <s v="Manage the operational workflow for devices requiring testing, cleaning, or repair (internal or third-party) to determine if they can be refurbished and returned to available inventory stock or must be scrapped."/>
    <s v="Foundational – Not Directly Mapped to SCE Use Case"/>
    <x v="0"/>
    <s v="N/A"/>
    <s v="Medium"/>
  </r>
  <r>
    <s v="Meter Asset Management"/>
    <s v="Manage returns and warranty"/>
    <s v="Manage returns, warranty, and refurbishment (network devices)"/>
    <s v="Handle warranty returns, refurbishment cycles, and inventory reconciliation of defective or decommissioned network devices."/>
    <s v="Foundational – Not Directly Mapped to SCE Use Case"/>
    <x v="1"/>
    <s v="N/A"/>
    <s v="Medium"/>
  </r>
  <r>
    <s v="Meter Asset Management"/>
    <s v="Manage meter sample testing and acceptance"/>
    <s v="Perform New Meter Lot Acceptance Testing"/>
    <s v="Define and execute statistical sampling and testing protocols for newly received meter shipments, driving requirements for automated workflows to manage test selection logic, record results against asset records, and enforce pass/fail criteria before releasing lots into inventory."/>
    <s v="Foundational – Not Directly Mapped to SCE Use Case"/>
    <x v="0"/>
    <s v="N/A"/>
    <s v="Medium"/>
  </r>
  <r>
    <s v="Mass Meter Deployment"/>
    <s v="Manage MIV synchronization and file handling"/>
    <s v="Manage MIV Data Synchronization &amp; Exception Handling"/>
    <s v="Maintain MIV deployment job plans and ensure the accurate, bi-directional synchronization of deployment data between MIV and enterprise systems, including the detection and resolution of any file transfer or interface exceptions."/>
    <s v="Foundational – Not Directly Mapped to SCE Use Case"/>
    <x v="0"/>
    <s v="N/A"/>
    <s v="Large"/>
  </r>
  <r>
    <s v="Mass Meter Deployment"/>
    <s v="Manage MIV synchronization and file handling"/>
    <s v="Reconcile installation records between systems"/>
    <s v="Cross-check installation completion data between Asset Management, CIS MDMS and HES for consistency."/>
    <s v="Foundational – Not Directly Mapped to SCE Use Case"/>
    <x v="0"/>
    <s v="N/A"/>
    <s v="Medium"/>
  </r>
  <r>
    <s v="Mass Meter Deployment"/>
    <s v="Manage customer communication during deployment"/>
    <s v="Notify customers of installation schedules"/>
    <s v="Inform customers of upcoming installation dates and access requirements through preferred communication channels."/>
    <s v="Use Case 3 – Improve Customer Experience"/>
    <x v="0"/>
    <s v="N/A"/>
    <s v="Small"/>
  </r>
  <r>
    <s v="Mass Meter Deployment"/>
    <s v="Coordinate installation and commissioning"/>
    <s v="Assign and execute MIV meteer deployment work orders"/>
    <s v="Dispatch and complete meter installation work orders via MIV or contractor systems, updating all related records."/>
    <s v="Foundational – Not Directly Mapped to SCE Use Case"/>
    <x v="0"/>
    <s v="N/A"/>
    <s v="Medium"/>
  </r>
  <r>
    <s v="Mass Meter Deployment"/>
    <s v="Coordinate installation and commissioning"/>
    <s v="Assign and execute utility-owned deployment work orders"/>
    <s v="Dispatch and complete meter installation work orders via utility systems, updating all related records."/>
    <s v="Foundational – Not Directly Mapped to SCE Use Case"/>
    <x v="0"/>
    <s v="N/A"/>
    <s v="Medium"/>
  </r>
  <r>
    <s v="Mass Meter Deployment"/>
    <s v="Coordinate installation and commissioning"/>
    <s v="Close MIV work orders and update dashboards"/>
    <s v="Record job completion, capture installer performance data, and synchronize updates across enterprise systems."/>
    <s v="Foundational – Not Directly Mapped to SCE Use Case"/>
    <x v="0"/>
    <s v="N/A"/>
    <s v="Small"/>
  </r>
  <r>
    <s v="Mass Meter Deployment"/>
    <s v="Manage customer communication during deployment"/>
    <s v="Communicate completion and follow-up"/>
    <s v="Notify customers upon successful installation and provide usage education or contact information for support."/>
    <s v="Use Case 3 – Improve Customer Experience"/>
    <x v="0"/>
    <s v="N/A"/>
    <s v="Small"/>
  </r>
  <r>
    <s v="Mass Meter Deployment"/>
    <s v="Manage field exceptions and issue resolution"/>
    <s v="Resolve Physical Field Installation Exceptions (Unable to Complete)"/>
    <s v="Manage the resolution workflow for physical barriers preventing MIV installation, such as access issues (e.g., locked gates, hazards), unsafe meter sockets, or customer refusals, requiring coordination with field ops or customer service."/>
    <s v="Foundational – Not Directly Mapped to SCE Use Case"/>
    <x v="0"/>
    <s v="N/A"/>
    <s v="Medium"/>
  </r>
  <r>
    <s v="Mass Meter Deployment"/>
    <s v="Manage field exceptions and issue resolution"/>
    <s v="Resolve Deployment Data and System Exceptions"/>
    <s v="Investigate and resolve back-office data exceptions where a physical installation occurred, but system records fail to synchronize due to data errors (e.g., serial number mismatches, incorrect premise association) between MIV, Asset Management, and CIS."/>
    <s v="Foundational – Not Directly Mapped to SCE Use Case"/>
    <x v="0"/>
    <s v="N/A"/>
    <s v="Medium"/>
  </r>
  <r>
    <s v="Mass Meter Deployment"/>
    <s v="Manage returns and warranty"/>
    <s v="Manage refurbishment and end-of-life disposal (MIV)"/>
    <s v="Oversee refurbishment or environmentally compliant disposal of obsolete meters devices removed by MIV."/>
    <s v="Foundational – Not Directly Mapped to SCE Use Case"/>
    <x v="0"/>
    <s v="N/A"/>
    <s v="Small"/>
  </r>
  <r>
    <s v="Field Operations"/>
    <s v="Coordinate installation and commissioning"/>
    <s v="Perform provisioning and connectivity validation"/>
    <s v="Validate communication and registration of newly installed meters with the head-end and MDMS systems."/>
    <s v="Use Case 14 – AMI 2.0 Interoperability"/>
    <x v="2"/>
    <s v="In Release 1 (DI Hub Light), provisioning is likely basic (Meter + Comms). In Release 2 (Permanent DI Hub), the commissioning process must be retouched to include the verification of Edge Applications during the install (e.g., &quot;Did the EV app download successfully?&quot;)"/>
    <s v="Medium"/>
  </r>
  <r>
    <s v="Field Operations"/>
    <s v="Coordinate installation and commissioning"/>
    <s v="Perform commissioning and billing readiness checks"/>
    <s v="Confirm that newly installed meters are correctly provisioned, communicating, and fully validated in the MDMS so they are ready to generate billable usage."/>
    <s v="Use Case 14 – AMI 2.0 Interoperability"/>
    <x v="2"/>
    <s v="In Release 1 (DI Hub Light), provisioning is likely basic (Meter + Comms). In Release 2 (Permanent DI Hub), the commissioning process must be retouched to include the verification of Edge Applications during the install (e.g., &quot;Did the EV app download successfully?&quot;)"/>
    <s v="Medium"/>
  </r>
  <r>
    <s v="Field Operations"/>
    <s v="Manage meter field operations"/>
    <s v="Perform steady-state meter installation"/>
    <s v="Execute meter installations as part of new service connections or replacements outside of mass deployment."/>
    <s v="Foundational – Not Directly Mapped to SCE Use Case"/>
    <x v="0"/>
    <s v="N/A"/>
    <s v="Medium"/>
  </r>
  <r>
    <s v="Field Operations"/>
    <s v="Manage meter field operations"/>
    <s v="Perform meter exchange"/>
    <s v="Replace AMI 2.0 meter for maintenance, testing, or upgrade purposes."/>
    <s v="Foundational – Not Directly Mapped to SCE Use Case"/>
    <x v="0"/>
    <s v="N/A"/>
    <s v="Medium"/>
  </r>
  <r>
    <s v="Field Operations"/>
    <s v="Manage meter field operations"/>
    <s v="Conduct AMI Network &amp; Communication Field Investigations"/>
    <s v="Dispatch and execute field investigations specifically tasked with diagnosing and resolving persistent meter communication failures, utilizing RF diagnostic tools and coordinating with head-end system operators."/>
    <s v="Use Case 10 – Performance and Health of Distribution System Assets"/>
    <x v="0"/>
    <s v="N/A"/>
    <s v="Medium"/>
  </r>
  <r>
    <s v="Field Operations"/>
    <s v="Manage meter field operations"/>
    <s v="Conduct Field Revenue Protection &amp; Tampering Investigations"/>
    <s v="Dispatch specialized field personnel to investigate physical sites flagged for potential energy diversion, tampering, or abnormal consumption patterns, requiring specific evidence gathering and safety protocols."/>
    <s v="Use Case 4 – Revenue Protection"/>
    <x v="2"/>
    <s v="N/A"/>
    <s v="Medium"/>
  </r>
  <r>
    <s v="Field Operations"/>
    <s v="Manage meter field operations"/>
    <s v="Perform meter removal and decommissioning"/>
    <s v="Remove meters from service, ensure final reads, and update all related systems."/>
    <s v="Foundational – Not Directly Mapped to SCE Use Case"/>
    <x v="0"/>
    <s v="N/A"/>
    <s v="Medium"/>
  </r>
  <r>
    <s v="Field Operations"/>
    <s v="Manage remote connect/disconnect operations"/>
    <s v="Perform remote disconnect / reconnect for move-out"/>
    <s v="Execute and validate remote meter disconnect commands in coordination with CIS and MDMS."/>
    <s v="Foundational – Not Directly Mapped to SCE Use Case"/>
    <x v="0"/>
    <s v="N/A"/>
    <s v="Medium"/>
  </r>
  <r>
    <s v="Field Operations"/>
    <s v="Manage remote connect/disconnect operations"/>
    <s v="Perform remote disconnect / reconnect for move-in"/>
    <s v="Execute and validate remote meter redisconnect commands in coordination with CIS and MDMS."/>
    <s v="Foundational – Not Directly Mapped to SCE Use Case"/>
    <x v="0"/>
    <s v="N/A"/>
    <s v="Medium"/>
  </r>
  <r>
    <s v="Field Operations"/>
    <s v="Manage remote connect/disconnect operations"/>
    <s v="Perform remote disconnect for non-payment"/>
    <s v="Execute remote disconnect commands for delinquent accounts following compliance and notification procedures."/>
    <s v="Foundational – Not Directly Mapped to SCE Use Case"/>
    <x v="0"/>
    <s v="N/A"/>
    <s v="Medium"/>
  </r>
  <r>
    <s v="Field Operations"/>
    <s v="Manage remote connect/disconnect operations"/>
    <s v="Perform remote reconnect after payment"/>
    <s v="Validate payment, execute remote reconnect command, and verify service restoration."/>
    <s v="Foundational – Not Directly Mapped to SCE Use Case"/>
    <x v="0"/>
    <s v="N/A"/>
    <s v="Medium"/>
  </r>
  <r>
    <s v="Field Operations"/>
    <s v="Manage network device lifecycle"/>
    <s v="Install and maintain network access points"/>
    <s v="Coordinate installation of network access points or routers supporting AMI communications."/>
    <s v="Use Case 14 – AMI 2.0 Interoperability"/>
    <x v="0"/>
    <s v="N/A"/>
    <s v="Medium"/>
  </r>
  <r>
    <s v="Field Operations"/>
    <s v="Manage network device lifecycle"/>
    <s v="Remove network access points and decommission interfaces"/>
    <s v="Remove obsolete or faulty network access points or routers and update network configuration."/>
    <s v="Foundational – Not Directly Mapped to SCE Use Case"/>
    <x v="1"/>
    <s v="N/A"/>
    <s v="Small"/>
  </r>
  <r>
    <s v="Meter Data Operations"/>
    <s v="Manage AMI data collection and validation"/>
    <s v="Execute AMI Data Acquisition &amp; Initial Validation (HES)"/>
    <s v="Manage the end-to-end acquisition of interval, voltage, and event data from Head-End Systems, including initial intake validation, automated resolution of transmission gaps or anomalies, and the final persistence of validated data into the MDMS and analytics repositories for downstream use."/>
    <s v="Use Case 1 – Meter-to-Cash_x000a_Use Case 10 – Performance and Health of Distribution System Assets_x000a_Use Case 14 – AMI 2.0 Interoperability"/>
    <x v="2"/>
    <s v="In Release 1, validation rules focus on 15/60-minute kWh data for billing completeness. In Release 2, the scope expands to high-frequency Grid Management data (Voltage, Power Quality), which requires different validation logic (e.g., voltage limits vs. usage limits) not present in R1.  Similar to above, resolving gaps in billing data (R1) is mandatory for revenue; resolving gaps in Grid data (R2) follows different business rules (e.g., interpolating voltage for planning vs. estimating usage for billing)."/>
    <s v="Medium"/>
  </r>
  <r>
    <s v="Meter Data Operations"/>
    <s v="Manage AMI data collection and validation"/>
    <s v="Execute VEE and Exception Management"/>
    <s v="Apply automated Validation, Estimation, and Editing (VEE) rules to interval data to ensure billing completeness and accuracy, and manually investigate and resolve any complex data exceptions that fail automated processing."/>
    <s v="Use Case 1 – Meter-to-Cash"/>
    <x v="2"/>
    <s v="Release 1 VEE applies to Billing Determinants (Revenue). Release 2 introduces VEE for non-billing channels (e.g., Transformer Loading profiles), requiring a retouch to configure estimation rules for operational data."/>
    <s v="Medium"/>
  </r>
  <r>
    <s v="Meter Data Operations"/>
    <s v="Manage AMI data collection and validation"/>
    <s v="Configure and Tune VEE Rules"/>
    <s v="Define, configure, test, and deploy automated VEE rules within the MDMS, requiring system capabilities for user-configurable rule editors (non-code based), rule version control, and simulation &quot;sandbox&quot; environments to tune thresholds and gauge impact against historical data before production deployment."/>
    <s v="Use Case 1 – Meter-to-Cash"/>
    <x v="0"/>
    <s v="N/A"/>
    <s v="Medium"/>
  </r>
  <r>
    <s v="Meter Data Operations"/>
    <s v="Manage AMI data collection and validation"/>
    <s v="Manage Long-Term Data Archival and Retrieval"/>
    <s v="Implement and enforce data retention policies (e.g., 40+ months) through automated system configurations that tier data storage based on age (Information Lifecycle Management), and manage on-demand retrieval requests requiring accessible user interfaces and defined system performance SLAs for restoring archived data."/>
    <s v="Foundational – Not Directly Mapped to SCE Use Case"/>
    <x v="0"/>
    <s v="N/A"/>
    <s v="Medium"/>
  </r>
  <r>
    <s v="Meter Data Operations"/>
    <s v="Manage AMI data collection and validation"/>
    <s v="Detect Unassigned Interval Usage"/>
    <s v="Identify meters drawing load post-disconnect and flag for investigation."/>
    <s v="Use Case 4 – Revenue Protection"/>
    <x v="2"/>
    <s v="Release 1 relies on deterministic flags (e.g., Reverse Rotation). Release 2 (with Permanent DI Hub/Analytics) introduces AI/ML-driven detection, requiring a retouch of the detection logic and investigation workflow."/>
    <s v="Medium"/>
  </r>
  <r>
    <s v="Customer Engagement &amp; Billing"/>
    <s v="Manage meter-to-cash operations"/>
    <s v="Resolve AMI billing data mismatches"/>
    <s v="Establish a traceable audit trail verifying that 100% of validated billable determinants are successfully transmitted from the MDMS to the CIS prior to bill calculation. This process mitigates the fundamental business risk of &quot;silent data loss&quot; inherent in high-volume AMI integrations, providing necessary assurance for financial reporting and regulatory compliance that testing alone cannot guarantee."/>
    <s v="Use Case 1 – Meter-to-Cash_x000a_Use Case 3 – Improve Customer Experience"/>
    <x v="0"/>
    <s v="N/A"/>
    <s v="Medium"/>
  </r>
  <r>
    <s v="Customer Engagement &amp; Billing"/>
    <s v="Manage meter-to-cash operations"/>
    <s v="Calculate and validate time-varying (TOU/TVP) energy bills"/>
    <s v="Execute CIS billing logic for rates where interval energy usage (kWh) is aggregated into pre-defined time-based buckets (e.g., On-Peak, Off-Peak, Seasonal periods) according to fixed schedules."/>
    <s v="Use Case 1 – Meter-to-Cash"/>
    <x v="0"/>
    <s v="N/A"/>
    <s v="Large"/>
  </r>
  <r>
    <s v="Customer Engagement &amp; Billing"/>
    <s v="Manage meter-to-cash operations"/>
    <s v="Calculate and validate Demand (kW) and Coincident Peak bills"/>
    <s v="Execute CIS billing logic that requires time-series analysis to determine peak power demand (kW), including non-coincident peaks, coincident system peaks, and complex structures like demand ratchets or power factor adjustments."/>
    <s v="Use Case 1 – Meter-to-Cash"/>
    <x v="1"/>
    <s v="N/A"/>
    <s v="Large"/>
  </r>
  <r>
    <s v="Customer Engagement &amp; Billing"/>
    <s v="Manage meter-to-cash operations"/>
    <s v="Calculate and validate Dynamic and Real-Time Pricing (RTP) bills"/>
    <s v="Execute CIS billing logic for rates subject to dynamic triggers or rapidly changing price signals (e.g., Critical Peak Pricing events, hourly wholesale market pricing) often requiring integration with external price signal feeds."/>
    <s v="Use Case 1 – Meter-to-Cash"/>
    <x v="3"/>
    <s v="N/A"/>
    <s v="Large"/>
  </r>
  <r>
    <s v="Customer Engagement &amp; Billing"/>
    <s v="Manage meter-to-cash operations"/>
    <s v="Calculate and validate register-based bills"/>
    <s v="Execute CIS billing logic for scalar rates, utilizing start and stop register reads to determine billable usage."/>
    <s v="Use Case 1 – Meter-to-Cash"/>
    <x v="0"/>
    <s v="N/A"/>
    <s v="Medium"/>
  </r>
  <r>
    <s v="Customer Engagement &amp; Billing"/>
    <s v="Manage meter-to-cash operations"/>
    <s v="Generate and distribute bill print and e-bills"/>
    <s v="Produce and issue customer bills through print and electronic delivery channels, ensuring timely distribution and compliance."/>
    <s v="Use Case 1 – Meter-to-Cash"/>
    <x v="0"/>
    <s v="N/A"/>
    <s v="Small"/>
  </r>
  <r>
    <s v="Customer Engagement &amp; Billing"/>
    <s v="Manage meter-to-cash operations"/>
    <s v="Manage System-Detected Data Anomalies &amp; Technical Exceptions"/>
    <s v="Investigate and resolve high-volume, system-generated exceptions triggered by pre-billing validation failures related to missing, incomplete, or technically invalid metering data inputs (e.g., register mismatches, stopped meter flags) to allow the billing cycle to proceed."/>
    <s v="Use Case 1 – Meter-to-Cash"/>
    <x v="0"/>
    <s v="N/A"/>
    <s v="Medium"/>
  </r>
  <r>
    <s v="Customer Engagement &amp; Billing"/>
    <s v="Manage meter-to-cash operations"/>
    <s v="Manage Rate Application &amp; Business Logic Exceptions"/>
    <s v="Analyze and correct complex system exceptions stemming from failures in applying business rules or rate configurations during bill calculation (e.g., missing rate determinants, proration errors, net energy metering setup issues) to ensure accurate final bill generation."/>
    <s v="Use Case 1 – Meter-to-Cash"/>
    <x v="1"/>
    <s v="N/A"/>
    <s v="Medium"/>
  </r>
  <r>
    <s v="Customer Engagement &amp; Billing"/>
    <s v="Manage meter-to-cash operations"/>
    <s v="Manage Customer Billing Disputes &amp; High Bill Investigations"/>
    <s v="Manage the end-to-end workflow for customer-initiated inquiries disputing billed amounts, requiring deep-dive investigations into usage history, rate application, and potential meter issues to provide satisfactory explanations or initiate necessary adjustments."/>
    <s v="Use Case 1 – Meter-to-Cash"/>
    <x v="3"/>
    <s v="N/A"/>
    <s v="Medium"/>
  </r>
  <r>
    <s v="Customer Engagement &amp; Billing"/>
    <s v="Manage meter-to-cash operations"/>
    <s v="Cancel and rebill"/>
    <s v="Correct previously issued bills due to meter, data, or rate errors and reissue accurate versions."/>
    <s v="Use Case 1 – Meter-to-Cash"/>
    <x v="0"/>
    <s v="N/A"/>
    <s v="Small"/>
  </r>
  <r>
    <s v="Customer Engagement &amp; Billing"/>
    <s v="Manage complex billing arrangements"/>
    <s v="Manage Virtual Net Metering (VNM) Allocations"/>
    <s v="Manage the end-to-end lifecycle of Virtual Net Metering arrangements, defining the complex virtual relationships between a central generating facility and multiple non-colocated beneficiary accounts (e.g., tenants), and maintaining the dynamic percentage-based credit allocation schedules required to distribute generation credits accurately on ongoing monthly bills."/>
    <s v="Use Case 1 – Meter-to-Cash_x000a_Use Case 2 – Optimizing Energy Savings_x000a_Use Case 7 – Long-Term Grid Planning"/>
    <x v="0"/>
    <s v="N/A"/>
    <s v="Large"/>
  </r>
  <r>
    <s v="Customer Engagement &amp; Billing"/>
    <s v="Manage complex billing arrangements"/>
    <s v="Manage NEM Aggregation (NEM-A) Structures"/>
    <s v="Establish and maintain the complex account hierarchies required for regulatory NEM Aggregation, linking a principal generating account with multiple eligible, often contiguous, usage premises under a single customer ownership to enable a unified, aggregated billing settlement where total generation offsets total combined load."/>
    <s v="Use Case 1 – Meter-to-Cash_x000a_Use Case 2 – Optimizing Energy Savings_x000a_Use Case 7 – Long-Term Grid Planning"/>
    <x v="0"/>
    <s v="N/A"/>
    <s v="Large"/>
  </r>
  <r>
    <s v="Customer Engagement &amp; Billing"/>
    <s v="Manage customer support and inquiries"/>
    <s v="Handle General AMI Customer Inquiries (Tier 1)"/>
    <s v="Respond to high-volume, general customer questions regarding AMI deployment schedules, meter functionality, basic usage education, and AMI program benefits using standard knowledge base tools and scripts."/>
    <s v="Use Case 3 – Improve Customer Experience"/>
    <x v="0"/>
    <s v="N/A"/>
    <s v="Medium"/>
  </r>
  <r>
    <s v="Customer Engagement &amp; Billing"/>
    <s v="Manage customer support and inquiries"/>
    <s v="Resolve Complex Technical Billing &amp; Usage Inquiries (Tier 2/3)"/>
    <s v="Manage escalated customer inquiries that require deep technical investigation into interval usage data, meter event logs (HES), and VEE history (MDMS) to resolve complex billing disputes or perceived metering inaccuracies."/>
    <s v="Use Case 3 – Improve Customer Experience"/>
    <x v="0"/>
    <s v="N/A"/>
    <s v="Medium"/>
  </r>
  <r>
    <s v="Customer Engagement &amp; Billing"/>
    <s v="Manage revenue protection"/>
    <s v="Manage Revenue Protection Lifecycle"/>
    <s v="Manage the end-to-end revenue protection lifecycle by analyzing meter alarms and usage patterns to detect potential energy diversion, conducting data-driven and field investigations to confirm and resolve theft cases, and tracking program performance through KPI reporting and trend analysis."/>
    <s v="Use Case 4 – Revenue Protection"/>
    <x v="2"/>
    <s v="As confirmed, Release 1 is foundational/deterministic. Release 2 deploys the full Analytics Platform, necessitating a process retouch to incorporate AI/ML insights and advanced theft pattern recognition."/>
    <s v="Medium"/>
  </r>
  <r>
    <s v="Customer Engagement &amp; Billing"/>
    <s v="Manage opt-out and customer choice programs"/>
    <s v="Manage Pre-Deployment Opt-Out Exclusions"/>
    <s v="Record customer opt-out requests prior to installation and update MIV deployment schedules to exclude the premise from mass installation."/>
    <s v="Foundational – Not Directly Mapped to SCE Use Case"/>
    <x v="0"/>
    <s v="N/A"/>
    <s v="Small"/>
  </r>
  <r>
    <s v="Customer Engagement &amp; Billing"/>
    <s v="Manage opt-out and customer choice programs"/>
    <s v="Manage Post-Deployment Opt-Out &amp; Exchange"/>
    <s v="Process opt-out requests for existing AMI customers and trigger field work orders to exchange the smart meter for a non-communicating device."/>
    <s v="Foundational – Not Directly Mapped to SCE Use Case"/>
    <x v="0"/>
    <s v="N/A"/>
    <s v="Small"/>
  </r>
  <r>
    <s v="Customer Engagement &amp; Billing"/>
    <s v="Manage opt-out and customer choice programs"/>
    <s v="Disable AMI communications for opt-out customers"/>
    <s v="Remotely disable meter communications for customers who have opted out."/>
    <s v="Foundational – Not Directly Mapped to SCE Use Case"/>
    <x v="0"/>
    <s v="N/A"/>
    <s v="Medium"/>
  </r>
  <r>
    <s v="Customer Engagement &amp; Billing"/>
    <s v="Manage opt-out and customer choice programs"/>
    <s v="Enable AMI communications for re-enrolled customers"/>
    <s v="Re-enable meter communications for customers who rejoin AMI programs after opting out."/>
    <s v="Foundational – Not Directly Mapped to SCE Use Case"/>
    <x v="0"/>
    <s v="N/A"/>
    <s v="Medium"/>
  </r>
  <r>
    <s v="Customer Engagement &amp; Billing"/>
    <s v="Manage opt-out and customer choice programs"/>
    <s v="Process Opt-Out Customer Move-In Requests"/>
    <s v="Manage service initiation requests for customers electing to opt-out at a new premise, including validating eligibility, configuring account enrollment settings, and triggering necessary field work orders to ensure a non-communicating meter is installed at the start of service."/>
    <s v="Foundational – Not Directly Mapped to SCE Use Case"/>
    <x v="0"/>
    <s v="N/A"/>
    <s v="Medium"/>
  </r>
  <r>
    <s v="Customer Engagement &amp; Billing"/>
    <s v="Manage opt-out and customer choice programs"/>
    <s v="Process Opt-Out Customer Move-Out and Asset Disposition"/>
    <s v="Manage service termination for existing opt-out customers, including finalizing billing and executing business rules to determine the immediate disposition of the non-communicating meter remaining at the vacated premise (e.g., scheduling replacement or flagging for the next occupant)."/>
    <s v="Foundational – Not Directly Mapped to SCE Use Case"/>
    <x v="0"/>
    <s v="N/A"/>
    <s v="Medium"/>
  </r>
  <r>
    <s v="Customer Engagement &amp; Billing"/>
    <s v="Manage customer communications and experience"/>
    <s v="Provide personalized consumption insights"/>
    <s v="Deliver disaggregated energy insights and usage summaries to customers through digital channels."/>
    <s v="Use Case 3 – Improve Customer Experience"/>
    <x v="4"/>
    <s v="Release 2 introduces the Analytics Platform (required for disaggregation). Release 3 retouches this to include &quot;Actionable Insights&quot; derived from BTM control and load management programs."/>
    <s v="Medium"/>
  </r>
  <r>
    <s v="Customer Engagement &amp; Billing"/>
    <s v="Manage wholesale settlement"/>
    <s v="Perform Wholesale Aggregation and Settlement Reconciliation"/>
    <s v="Manage the end-to-end wholesale settlement process by aggregating validated interval data according to market rules for submission to the ISO/RTO, and performing balancing calculations against top-down substation inputs to determine and allocate Unaccounted for Energy (UFE)."/>
    <s v="Foundational – Not Directly Mapped to SCE Use Case"/>
    <x v="1"/>
    <s v="N/A"/>
    <s v="Large"/>
  </r>
  <r>
    <s v="Customer Engagement &amp; Billing"/>
    <s v="Manage rate optimization and program enrollment"/>
    <s v="Provide Personalized Rate Recommendations and Bill Simulations"/>
    <s v="Analyze customer usage patterns and behavioral data to model and recommend optimal rate structures, and generate simulated bill comparisons to clearly communicate the financial impact of potential rate changes or program participation."/>
    <s v="Use Case 2 – Optimizing Energy Savings with Personalized Incentives"/>
    <x v="5"/>
    <s v="Release 1 simulations are static comparisons of rate plans. Release 3 introduces &quot;Customer-driven load management&quot; (BTM Control), requiring the simulation engine to account for dynamic utility interventions and demand response events."/>
    <s v="Large"/>
  </r>
  <r>
    <s v="Customer Engagement &amp; Billing"/>
    <s v="Manage rate optimization and program enrollment"/>
    <s v="Manage Demand Response Event Settlement"/>
    <s v="Calculate baseline usage (CBL) and performance metrics for DR events to determine financial settlement/credits distinct from standard billing."/>
    <s v="Use Case 3 – Improve Customer Experience"/>
    <x v="3"/>
    <s v="N/A"/>
    <s v="Medium"/>
  </r>
  <r>
    <s v="Customer Engagement &amp; Billing"/>
    <s v="Manage rate optimization and program enrollment"/>
    <s v="Manage EV Panel Capacity Limits"/>
    <s v="Configure panel capacity thresholds and safe-loading limits in the back-office system to enable &quot;Panel Upgrade Avoidance&quot; logic at the edge."/>
    <s v="Use Case 3 – Improve Customer Experience_x000a_Use Case 7 – Long-Term Grid Planning"/>
    <x v="3"/>
    <s v="N/A"/>
    <s v="Large"/>
  </r>
  <r>
    <s v="Customer Engagement &amp; Billing"/>
    <s v="Manage customer data access and transparency"/>
    <s v="Manage Secure Third-Party Data Access (Green Button)"/>
    <s v="Manage the end-to-end lifecycle of secure third-party data access, including authenticating requests from customers and authorized third parties, securely generating and delivering usage and generation data via APIs, and maintaining comprehensive audit logs to ensure compliance and detect misuse."/>
    <s v="Use Case 6 – 3rd Party Meter Data Access"/>
    <x v="3"/>
    <s v="N/A"/>
    <s v="Medium"/>
  </r>
  <r>
    <s v="Grid &amp; Outage Management"/>
    <s v="Manage connectivity and topology"/>
    <s v="Manage Distribution Connectivity Model Lifecycle"/>
    <s v="Establish and refine parent-child physical links between meters and service transformers using AMI voltage correlation data, continuously validate model accuracy through AMI and GIS feedback loops, and integrate the verified connectivity model with outage management and DER planning tools for enhanced situational awareness and operational decision-making."/>
    <s v="Use Case 11 – Distribution Connectivity Model &amp; Monitoring_x000a_Use Case 18 - Grid Ops: Situational Awareness"/>
    <x v="4"/>
    <s v="Release 2 (Discovery): Establishes the topology model. Release 3 (Forensic Feedback): Adds feedback loop where Outage Root Cause Analysis permanently validates/updates the model."/>
    <s v="Large"/>
  </r>
  <r>
    <s v="Grid &amp; Outage Management"/>
    <s v="Manage connectivity and topology"/>
    <s v="Detect and Reconcile Phase Assignment Errors"/>
    <s v="Analyze voltage angle data or signal injection results to identify and correct mislabeled electrical phases (A/B/C) in the GIS model."/>
    <s v="Use Case 11 – Distribution Connectivity Model &amp; Monitoring"/>
    <x v="1"/>
    <s v="N/A"/>
    <s v="Medium"/>
  </r>
  <r>
    <s v="Grid &amp; Outage Management"/>
    <s v="Monitor environmental conditions"/>
    <s v="Monitor Environmental Sensor Telemetry"/>
    <s v="Collect and monitor non-electrical telemetry (e.g., ambient temperature, seismic activity, air quality) from capable AMI devices to support grid planning and public safety initiatives."/>
    <s v="Use Case 9 – Environmental Monitoring"/>
    <x v="1"/>
    <s v="N/A"/>
    <s v="Small"/>
  </r>
  <r>
    <s v="Grid &amp; Outage Management"/>
    <s v="Detect and analyze behind-the-meter events"/>
    <s v="Identify and classify EV charging signatures"/>
    <s v="Detect load patterns associated with EV charging to enhance load forecasting and grid planning."/>
    <s v="Use Case 18 – Grid Ops: Situational Awareness"/>
    <x v="3"/>
    <s v="N/A"/>
    <s v="Large"/>
  </r>
  <r>
    <s v="Grid &amp; Outage Management"/>
    <s v="Detect and analyze behind-the-meter events"/>
    <s v="Detect rooftop solar (PV) generation"/>
    <s v="Identify customer-installed photovoltaic (PV) generation events by analyzing AMI interval data for reverse power flow signatures during daylight hours and correlating inverter harmonic signatures."/>
    <s v="Use Case 18 – Grid Ops: Situational Awareness"/>
    <x v="3"/>
    <s v="N/A"/>
    <s v="Large"/>
  </r>
  <r>
    <s v="Grid &amp; Outage Management"/>
    <s v="Detect and analyze behind-the-meter events"/>
    <s v="Detect battery storage operation"/>
    <s v="Identify behind-the-meter battery storage systems by analyzing AMI data for characteristic charging and discharging load patterns that are distinct from solar generation profiles, such as load shifting or peak shaving behavior."/>
    <s v="Use Case 18 – Grid Ops: Situational Awareness"/>
    <x v="3"/>
    <s v="N/A"/>
    <s v="Large"/>
  </r>
  <r>
    <s v="Grid &amp; Outage Management"/>
    <s v="Detect and analyze behind-the-meter events"/>
    <s v="Correlate load changes with customer profiles"/>
    <s v="Analyze BTM load data with customer profiles to refine forecasting and anomaly detection."/>
    <s v="Use Case 7 – Long-Term Grid Planning_x000a_Use Case 18 - Grid Ops: Situational Awareness"/>
    <x v="3"/>
    <s v="N/A"/>
    <s v="Large"/>
  </r>
  <r>
    <s v="Grid &amp; Outage Management"/>
    <s v="Detect and analyze behind-the-meter events"/>
    <s v="Detect Unapproved DER Interconnection"/>
    <s v="Compare detected generation signatures against known interconnection records to identify unauthorized solar or storage back-feeding."/>
    <s v="Use Case 8 – Anomaly &amp; Fault Detection BTM_x000a_Use Case 4 – Revenue Protection"/>
    <x v="1"/>
    <s v="N/A"/>
    <s v="Medium"/>
  </r>
  <r>
    <s v="Grid &amp; Outage Management"/>
    <s v="Monitor feeder and transformer loading"/>
    <s v="Aggregate and monitor feeder and transformer loads"/>
    <s v="Collect and analyze feeder and transformer load data to detect overloads or unbalanced conditions."/>
    <s v="Use Case 10 – Performance and Health of Distribution System Assets"/>
    <x v="2"/>
    <s v="Release 1 provides basic aggregation for visibility. Release 2 (Analytics) adds predictive health scoring and thermal analysis."/>
    <s v="Large"/>
  </r>
  <r>
    <s v="Grid &amp; Outage Management"/>
    <s v="Monitor feeder and transformer loading"/>
    <s v="Perform Manual/Advisory Corrective Switching for Load Balancing"/>
    <s v="Manage the operational workflow where AMI-driven loading insights trigger alerts or recommendations for grid operators, who then manually analyze and execute preventative switching actions to balance feeder or transformer loads."/>
    <s v="Use Case 12 – Switching Support, Outage Selection, and Controlled Restoration"/>
    <x v="3"/>
    <s v="N/A"/>
    <s v="Large"/>
  </r>
  <r>
    <s v="Grid &amp; Outage Management"/>
    <s v="Monitor feeder and transformer loading"/>
    <s v="Execute Automated Corrective Switching (FLISR/ADMS)"/>
    <s v="Manage the fully autonomous, machine-speed process where the ADMS/FLISR system utilizes real-time AMI and SCADA data to automatically detect imminent overload conditions and execute complex switching sequences to reconfigure the grid without human intervention."/>
    <s v="Use Case 12 – Switching Support, Outage Selection, and Controlled Restoration"/>
    <x v="3"/>
    <s v="N/A"/>
    <s v="Large"/>
  </r>
  <r>
    <s v="Grid &amp; Outage Management"/>
    <s v="Detect voltage and power quality issues"/>
    <s v="Analyze voltage, frequency, and harmonic data"/>
    <s v="Continuously monitor and ingest high-resolution voltage, frequency, and harmonic data from diverse AMI endpoints to establish baseline grid performance and identify statistical deviations that indicate potential power quality issues."/>
    <s v="Use Case 10 – Performance and Health of Distribution System Assets"/>
    <x v="2"/>
    <s v="Release 1 is monitoring/reporting. Release 2 retouches this to include closed-loop control (Triggering regulator adjustments)."/>
    <s v="Medium"/>
  </r>
  <r>
    <s v="Grid &amp; Outage Management"/>
    <s v="Detect voltage and power quality issues"/>
    <s v="Classify and report power quality anomalies"/>
    <s v="Apply analytical rules to categorize identified deviations into specific power quality events (e.g., sags, swells, harmonic distortion) and generate prioritized alerts and reports for grid operations engineering to investigate."/>
    <s v="Use Case 10 – Performance and Health of Distribution System Assets"/>
    <x v="2"/>
    <s v="Release 1 is monitoring/reporting. Release 2 retouches this to include closed-loop control."/>
    <s v="Medium"/>
  </r>
  <r>
    <s v="Grid &amp; Outage Management"/>
    <s v="Detect voltage and power quality issues"/>
    <s v="Perform Open-Loop (Advisory) Volt/VAR Optimization"/>
    <s v="Utilize aggregated AMI edge voltage data to model grid conditions and generate optimized control recommendations for regulators and capacitor banks, which are presented to grid operators for manual review and execution."/>
    <s v="Use Case 10 – Performance and Health of Distribution System Assets"/>
    <x v="4"/>
    <s v="Release 2 is Open Loop (Advisory). Release 3 adds Closed Loop automation and integrates DER impact into regulation logic."/>
    <s v="Large"/>
  </r>
  <r>
    <s v="Grid &amp; Outage Management"/>
    <s v="Detect voltage and power quality issues"/>
    <s v="Execute Closed-Loop (Autonomous) Volt/VAR Optimization"/>
    <s v="Manage the fully autonomous, continuous process where the ADMS utilizes real-time AMI voltage feedback to automatically calculate and execute control commands for grid assets to maintain optimal voltage profiles (e.g., CVR) without operator intervention."/>
    <s v="Use Case 10 – Performance and Health of Distribution System Assets"/>
    <x v="3"/>
    <s v="N/A"/>
    <s v="Large"/>
  </r>
  <r>
    <s v="Grid &amp; Outage Management"/>
    <s v="Perform grid fault and incipient failure detection"/>
    <s v="Perform AMI-Driven Fault Detection and Predictive Maintenance"/>
    <s v="Utilize advanced analytics to detect incipient failure signatures in distribution assets using AMI power quality data, correlate these findings with SCADA and other sensor inputs for precise fault localization, and generate prioritized maintenance recommendations to prevent equipment failures."/>
    <s v="Use Case 15 – Fault &amp; Incipient Fault Identification on the Distribution System"/>
    <x v="4"/>
    <s v="Release 2 (Detection) uses Permanent DI Hub analytics. Release 3 (Tuning) incorporates &quot;Ground Truth&quot; feedback from actual failures to tune detection models. Release 2 is Operational (immediate health scores). Release 3 is Strategic (aligning asset health with long-term capital planning)."/>
    <s v="Large"/>
  </r>
  <r>
    <s v="Grid &amp; Outage Management"/>
    <s v="Detect and manage safety hazards"/>
    <s v="Detect and Respond to Hot Socket Alarms"/>
    <s v="Monitor real-time temperature alarms from meters, validate &quot;Hot Socket&quot; conditions, and trigger immediate safety disconnects or field dispatches."/>
    <s v="Use Case 8 – Anomaly &amp; Fault Detection BTM_x000a_Use Case 5 – Advanced Outage Identification"/>
    <x v="2"/>
    <s v="Release 1 uses basic alarms. Release 2 applies advanced analytics (impedance monitoring) to filter false positives."/>
    <s v="Medium"/>
  </r>
  <r>
    <s v="Grid &amp; Outage Management"/>
    <s v="Detect and manage safety hazards"/>
    <s v="Identify and Resolve Neutral Connection Issues"/>
    <s v="Analyze voltage and impedance data to detect &quot;Loose Neutral&quot; conditions and prioritize field investigation to prevent equipment damage."/>
    <s v="Use Case 8 – Anomaly &amp; Fault Detection BTM_x000a_Use Case 10 – Performance and Health of Distribution System Assets"/>
    <x v="1"/>
    <s v="N/A"/>
    <s v="Medium"/>
  </r>
  <r>
    <s v="Grid &amp; Outage Management"/>
    <s v="Detect and locate outages"/>
    <s v="Perform AMI Outage Detection, Validation, and Prioritization"/>
    <s v="Manage the automated technical process of ingesting raw AMI telemetry (e.g., last gasps, power restoration signals), filtering false positives, validating events against existing grid conditions, and applying algorithmic rules to cluster individual meter events into prioritized outage incident records for dispatch."/>
    <s v="Use Case 5 – Advanced Outage Identification and Location Awareness"/>
    <x v="1"/>
    <s v="N/A"/>
    <s v="Large"/>
  </r>
  <r>
    <s v="Grid &amp; Outage Management"/>
    <s v="Detect and locate outages"/>
    <s v="Coordinate Operational Response and Cross-Team Alignment"/>
    <s v="Manage the operational workflow that occurs once an outage incident is confirmed, ensuring real-time synchronization of outage status, estimated restoration times (ERTs), and crew progress between the control room, field operations, and customer service platforms to maintain situational awareness across teams."/>
    <s v="Use Case 5 – Advanced Outage Identification and Location Awareness"/>
    <x v="1"/>
    <s v="N/A"/>
    <s v="Large"/>
  </r>
  <r>
    <s v="Grid &amp; Outage Management"/>
    <s v="Perform controlled switching and restoration"/>
    <s v="Ping meters for outage verification"/>
    <s v="Perform targeted AMI pings to assess outage boundaries or diagnose partial restoration conditions without triggering formal OMS restoration updates."/>
    <s v="Use Case 5 – Advanced Outage Identification and Location Awareness"/>
    <x v="3"/>
    <s v="N/A"/>
    <s v="Large"/>
  </r>
  <r>
    <s v="Grid &amp; Outage Management"/>
    <s v="Perform controlled switching and restoration"/>
    <s v="Execute and Verify Power Restoration"/>
    <s v="Execute operator-approved switching commands to restore service after an outage, monitor the staged restoration sequence using AMI telemetry, and verify final power restoration status to update the OMS and customer communication systems with authoritative confirmation."/>
    <s v="Use Case 12 – Switching Support, Outage Selection, and Controlled Restoration"/>
    <x v="3"/>
    <s v="N/A"/>
    <s v="Large"/>
  </r>
  <r>
    <s v="Grid &amp; Outage Management"/>
    <s v="Manage outage communications"/>
    <s v="Deliver outage and restoration notifications to customers"/>
    <s v="Send real-time outage and restoration status updates to impacted customers through preferred communication channels."/>
    <s v="Use Case 3 – Improve Customer Experience_x000a_Use Case 5 – Advanced Outage Identification"/>
    <x v="4"/>
    <s v="Release 2 covers standard outage comms. Release 3 includes notifications related to specific customer-driven load shedding events."/>
    <s v="Medium"/>
  </r>
  <r>
    <s v="Grid &amp; Outage Management"/>
    <s v="Perform event analysis and root-cause investigation"/>
    <s v="Analyze waveform signatures"/>
    <s v="Request and analyze high-resolution waveform captures (pre/post event) to determine the specific electrical signature of complex faults."/>
    <s v="Use Case 10 – Performance and Health of Distribution System Assets_x000a_Use Case 13 – Post Event Analysis"/>
    <x v="4"/>
    <s v="Release 2 focuses on Real-time Safety/Ops. Release 3 focuses on Retrospective Forensic Analysis to determine root cause."/>
    <s v="Large"/>
  </r>
  <r>
    <s v="Grid &amp; Outage Management"/>
    <s v="Perform event analysis and root-cause investigation"/>
    <s v="Perform Post-Event Forensic Analysis and Root Cause Investigation"/>
    <s v="Systematically reconstruct outage and restoration sequences using multi-source data (AMI, OMS, SCADA), analyze data correlations to determine root causes of faults or power quality events, and formally document findings, corrective actions, and lessons learned to close the investigation loop."/>
    <s v="Use Case 13 – Post Event Analysis"/>
    <x v="3"/>
    <s v="N/A"/>
    <s v="Large"/>
  </r>
  <r>
    <s v="Meter Operations &amp; Diagnostics"/>
    <s v="Manage Device Software, Configuration, and Security Lifecycle"/>
    <s v="Manage Device Firmware Upgrade Campaigns"/>
    <s v="Manage the end-to-end lifecycle of firmware upgrade campaigns for meters and network devices, including planning target populations, scheduling deployment jobs, executing the upgrades, and validating successful deployment and subsequent device connectivity."/>
    <s v="Use Case 14 – AMI 2.0 Interoperability"/>
    <x v="0"/>
    <s v="N/A"/>
    <s v="Medium"/>
  </r>
  <r>
    <s v="Meter Operations &amp; Diagnostics"/>
    <s v="Manage Device Software, Configuration, and Security Lifecycle"/>
    <s v="Manage Device Security Certificates Lifecycle"/>
    <s v="Track the expiration and renewal of device security certificates (LDevID) to ensure no asset becomes orphaned due to credential expiry."/>
    <s v="Use Case 14 – AMI 2.0 Interoperability"/>
    <x v="0"/>
    <s v="N/A"/>
    <s v="Medium"/>
  </r>
  <r>
    <s v="Meter Operations &amp; Diagnostics"/>
    <s v="Manage Device Software, Configuration, and Security Lifecycle"/>
    <s v="Define and Manage Meter Configuration Programs"/>
    <s v="Create, version-control, and manage a centralized repository of vendor-agnostic meter configuration profiles (programs), requiring system capabilities for secure library storage, change management logging, and role-based approval workflows to validate configurations prior to deployment authorization."/>
    <s v="Use Case 14 – AMI 2.0 Interoperability"/>
    <x v="0"/>
    <m/>
    <m/>
  </r>
  <r>
    <s v="Meter Operations &amp; Diagnostics"/>
    <s v="Manage Device Software, Configuration, and Security Lifecycle"/>
    <s v="Manage Distributed Intelligence (DI) Application Lifecycle &amp; Operations"/>
    <s v="Manage the end-to-end lifecycle of distributed intelligence applications on the edge, including defining and tuning business logic parameters, coordinating the versioning, testing, and deployment of AI models and application binaries, and monitoring runtime performance and resource consumption to ensure operational health."/>
    <s v="Use Case 14 – AMI 2.0 Interoperability"/>
    <x v="2"/>
    <s v="The migration from DI Hub Light (R1.2) to Permanent DI Hub (R2) necessitates a complete redesign of how apps are configured, deployed, and managed."/>
    <s v="Large"/>
  </r>
  <r>
    <s v="Meter Operations &amp; Diagnostics"/>
    <s v="Manage meter operations commands"/>
    <s v="Execute on-demand reads or pings"/>
    <s v="Perform real-time meter read or ping commands to verify meter connectivity or resolve exceptions."/>
    <s v="Foundational – Not Directly Mapped to SCE Use Case"/>
    <x v="0"/>
    <s v="N/A"/>
    <s v="Small"/>
  </r>
  <r>
    <s v="Meter Operations &amp; Diagnostics"/>
    <s v="Manage meter operations commands"/>
    <s v="Send test or diagnostic commands"/>
    <s v="Send diagnostic commands to validate meter health or confirm firmware behavior."/>
    <s v="Foundational – Not Directly Mapped to SCE Use Case"/>
    <x v="0"/>
    <s v="N/A"/>
    <s v="Small"/>
  </r>
  <r>
    <s v="Meter Operations &amp; Diagnostics"/>
    <s v="Manage meter operations commands"/>
    <s v="Track device reliability and communication performance"/>
    <s v="Monitor meter reliability, communication stability, and recurring issue patterns."/>
    <s v="Use Case 14 – AMI 2.0 Interoperability"/>
    <x v="2"/>
    <s v="Release 1 tracks basic comms rates (Read Success). Release 2 retouches this to track Edge Compute Health (CPU/RAM usage on the meter), which is required for the Permanent DI Hub."/>
    <s v="Medium"/>
  </r>
  <r>
    <s v="Data &amp; Analytics Platform Management"/>
    <s v="Manage enterprise data platform"/>
    <s v="Coordinate AMI data integration with enterprise data lake"/>
    <s v="Transfer validated AMI datasets to the enterprise data lake for use in analytics and data science."/>
    <s v="Foundational – Not Directly Mapped to SCE Use Case"/>
    <x v="6"/>
    <s v="The data payload expands significantly. Release 1 = Billing Data. Release 2 = PQ/Waveforms. Release 3 = BTM/Control Data. The integration process must be retouched to handle these new schemas."/>
    <s v="Medium"/>
  </r>
  <r>
    <s v="Data &amp; Analytics Platform Management"/>
    <s v="Manage Legacy Data Migration Projects"/>
    <s v="Execute and Validate Historical Data Migration"/>
    <s v="Manage the end-to-end migration of historical data from legacy systems, driving requirements for specific ETL transformation logic definitions, data mapping configurations, and robust automated reconciliation reporting tools to validate data integrity between source and target systems post-cutover."/>
    <s v="Foundational – Not Directly Mapped to SCE Use Case"/>
    <x v="0"/>
    <m/>
    <s v="Medium"/>
  </r>
  <r>
    <s v="Data &amp; Analytics Platform Management"/>
    <s v="Manage interoperability and event correlation"/>
    <s v="Analyze AMI event notifications"/>
    <s v="Examine AMI-generated events (alarms, last-gasp, reconnects) to derive actionable insights."/>
    <s v="Use Case 13 – Post Event Analysis_x000a_Use Case 5 – Advanced Outage Identification and Location Awareness"/>
    <x v="5"/>
    <s v="Release 1 handles basic alarms. Release 3 (Post Event Analysis) requires correlating these events with SCADA/OMS data for complex root cause analysis."/>
    <s v="Medium"/>
  </r>
  <r>
    <s v="Data &amp; Analytics Platform Management"/>
    <s v="Manage data security and privacy"/>
    <s v="Implement role-based access control and encryption"/>
    <s v="Enforce access control and data encryption to secure AMI data at rest and in transit."/>
    <s v="Foundational – Not Directly Mapped to SCE Use Case"/>
    <x v="6"/>
    <s v="Release 1 secures the utility data. Release 3 opens up 3rd Party Access (Green Button) and Control Commands, requiring a retouch to implement finer-grained, role-based security and external authentication."/>
    <s v="Medium"/>
  </r>
  <r>
    <s v="Data &amp; Analytics Platform Management"/>
    <s v="Manage edge and distributed intelligence"/>
    <s v="Maintain Operational Device Segments &amp; Groups"/>
    <s v="Establish and dynamically maintain logical groupings of meters and grid devices based on specific business criteria (e.g., &quot;High Fire Risk Areas,&quot; &quot;EV Owners,&quot; &quot;Critical Infrastructure&quot;) to enable precise, targeted execution of firmware updates, edge application deployments, and operational commands, ensuring grid management actions are tailored to specific operational contexts and customer segments."/>
    <s v="Use Case 14 – AMI 2.0 Interoperability_x000a_Use Case 3 – Improve Customer Experience"/>
    <x v="2"/>
    <s v="Release 1 (DI Hub Light): You are managing groups on a &quot;Light&quot; platform, likely limited to basic firmware or billing groups. Release 2 (Permanent DI Hub): The entire underlying platform changes to the &quot;Permanent DI Hub.&quot; The process of creating and managing groups must be redesigned (retouched) to accommodate the complex, dynamic grouping logic required for the new Edge Apps (e.g., grouping by &quot;Solar Inverter Type&quot; or &quot;Transformer Loading Zone&quot;)."/>
    <s v="Medium"/>
  </r>
  <r>
    <s v="Data &amp; Analytics Platform Management"/>
    <s v="Manage third-party data exchange"/>
    <s v="Manage Secure Third-Party Data Exchange Lifecycle (Supplier, Research Instituion)"/>
    <s v="Manage the end-to-end lifecycle of secure data exchange with institutional third parties, including authenticating and authorizing requests, transmitting datasets via secure API channels in compliance with privacy standards, and maintaining comprehensive audit logs to monitor usage and ensure compliance."/>
    <s v="Use Case 6 – 3rd Party Meter Data Access"/>
    <x v="3"/>
    <s v="N/A"/>
    <s v="Large"/>
  </r>
  <r>
    <s v="Data &amp; Analytics Platform Management"/>
    <s v="Manage interoperability and event correlation"/>
    <s v="Capture and correlate operational events across AMI, OMS, and CIS"/>
    <s v="Establish and maintain a centralized, real-time event correlation engine that ingests and synthesizes disparate data streams from AMI (e.g., alarms, voltage), OMS (e.g., switching, outages), and CIS (e.g., customer calls), applying complex, multi-variable logic to identify cross-domain relationships and generate validated, actionable intelligence that drives automated operational responses and reveals performance insights invisible to individual siloed systems."/>
    <s v="Use Case 13 – Post Event Analysis_x000a_Use Case 14 – AMI 2.0 Interoperability"/>
    <x v="3"/>
    <s v="N/A"/>
    <s v="Large"/>
  </r>
  <r>
    <s v="Data &amp; Analytics Platform Management"/>
    <s v="Manage reporting and visualization"/>
    <s v="Design and maintain AMI dashboards"/>
    <s v="Create and maintain dashboards to visualize AMI performance, reliability, and customer insights."/>
    <s v="Use Case 13 – Post Event Analysis_x000a_Use Case 18 – Grid Ops: Situational Awareness"/>
    <x v="3"/>
    <s v="N/A"/>
    <s v="Medium"/>
  </r>
  <r>
    <s v="Data &amp; Analytics Platform Management"/>
    <s v="Manage reporting and visualization"/>
    <s v="Automate recurring reports and analytics"/>
    <s v="Automate generation and distribution of recurring performance and compliance reports."/>
    <s v="Use Case 13 – Post Event Analysis"/>
    <x v="3"/>
    <s v="N/A"/>
    <s v="Medium"/>
  </r>
  <r>
    <s v="Data &amp; Analytics Platform Management"/>
    <s v="Manage interoperability and event correlation"/>
    <s v="Identify cross-system anomalies"/>
    <s v="Establish and maintain a continuous, automated detective control that constantly compares real-time operational states across OT systems (e.g., AMI voltage vs. SCADA breaker status) to proactively identify, flag, and prioritize data inconsistencies, thereby revealing latent errors in the grid connectivity model (GIS) or sensor failures before they can impact outage management, safety operations, or grid planning."/>
    <s v="Use Case 13 – Post Event Analysis_x000a_Use Case 15 – Fault &amp; Incipient Fault Identification on the Distribution System"/>
    <x v="3"/>
    <s v="N/A"/>
    <s v="Lar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941B5-ACDB-40EF-B7BA-9F0A5B11F6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6" firstHeaderRow="1" firstDataRow="1" firstDataCol="1"/>
  <pivotFields count="8">
    <pivotField showAll="0"/>
    <pivotField showAll="0"/>
    <pivotField dataField="1" showAll="0"/>
    <pivotField showAll="0"/>
    <pivotField showAll="0"/>
    <pivotField axis="axisRow" showAll="0">
      <items count="8">
        <item x="0"/>
        <item x="6"/>
        <item x="2"/>
        <item x="5"/>
        <item x="1"/>
        <item x="4"/>
        <item x="3"/>
        <item t="default"/>
      </items>
    </pivotField>
    <pivotField showAll="0"/>
    <pivotField showAll="0"/>
  </pivotFields>
  <rowFields count="1">
    <field x="5"/>
  </rowFields>
  <rowItems count="8">
    <i>
      <x/>
    </i>
    <i>
      <x v="1"/>
    </i>
    <i>
      <x v="2"/>
    </i>
    <i>
      <x v="3"/>
    </i>
    <i>
      <x v="4"/>
    </i>
    <i>
      <x v="5"/>
    </i>
    <i>
      <x v="6"/>
    </i>
    <i t="grand">
      <x/>
    </i>
  </rowItems>
  <colItems count="1">
    <i/>
  </colItems>
  <dataFields count="1">
    <dataField name="Count of L3 Process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3" dT="2025-11-21T11:34:47.36" personId="{E164CD4D-F60A-4122-8809-9E91BD6DDA59}" id="{FEEF030B-DA5E-4692-A97B-6F20D52A386C}">
    <text>How impacted by AMI? Seems like a legacy process</text>
  </threadedComment>
  <threadedComment ref="C24" dT="2025-11-21T11:37:32.57" personId="{E164CD4D-F60A-4122-8809-9E91BD6DDA59}" id="{00B994E0-7A92-4D97-86E9-8E355BFE690C}">
    <text>How is this an AMI process?  This doesn’t seem to be something driven AMI</text>
  </threadedComment>
  <threadedComment ref="C26" dT="2025-11-21T13:15:48.48" personId="{E164CD4D-F60A-4122-8809-9E91BD6DDA59}" id="{FFDB8243-F3E1-4D27-93FB-35D7FDAECC48}">
    <text>Technical process not business process</text>
  </threadedComment>
  <threadedComment ref="C27" dT="2025-11-21T12:13:27.56" personId="{E164CD4D-F60A-4122-8809-9E91BD6DDA59}" id="{A92942D8-8D43-4290-9F76-2E2E72913B68}">
    <text>This doesn’t feel like a capability of the production system</text>
  </threadedComment>
  <threadedComment ref="C28" dT="2025-11-21T12:13:44.78" personId="{E164CD4D-F60A-4122-8809-9E91BD6DDA59}" id="{75C3F44E-861C-4687-B291-4BEDC98527EE}">
    <text>This doesn’t feel like a capabilities of the production system. Not sure who was asking for this.</text>
  </threadedComment>
</ThreadedComments>
</file>

<file path=xl/threadedComments/threadedComment2.xml><?xml version="1.0" encoding="utf-8"?>
<ThreadedComments xmlns="http://schemas.microsoft.com/office/spreadsheetml/2018/threadedcomments" xmlns:x="http://schemas.openxmlformats.org/spreadsheetml/2006/main">
  <threadedComment ref="C29" dT="2025-11-21T11:31:55.00" personId="{E164CD4D-F60A-4122-8809-9E91BD6DDA59}" id="{9C7F1D5E-E9EC-4228-996C-3A3B1AEAB5A8}">
    <text>Could this be combined with calculate bill?</text>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2926-E8FC-4E51-8265-E6D97D7EE353}">
  <dimension ref="A1:L140"/>
  <sheetViews>
    <sheetView tabSelected="1" zoomScale="80" zoomScaleNormal="80" workbookViewId="0">
      <pane xSplit="4" ySplit="1" topLeftCell="E2" activePane="bottomRight" state="frozen"/>
      <selection pane="topRight" activeCell="E1" sqref="E1"/>
      <selection pane="bottomLeft" activeCell="A2" sqref="A2"/>
      <selection pane="bottomRight" activeCell="D6" sqref="D6"/>
    </sheetView>
  </sheetViews>
  <sheetFormatPr defaultRowHeight="15" x14ac:dyDescent="0.25"/>
  <cols>
    <col min="1" max="1" width="25.28515625" customWidth="1"/>
    <col min="2" max="2" width="42.42578125" customWidth="1"/>
    <col min="3" max="3" width="28.42578125" customWidth="1"/>
    <col min="4" max="4" width="73.42578125" customWidth="1"/>
    <col min="5" max="5" width="54.140625" customWidth="1"/>
    <col min="6" max="6" width="41" customWidth="1"/>
    <col min="7" max="7" width="46.140625" customWidth="1"/>
    <col min="8" max="8" width="37.140625" customWidth="1"/>
    <col min="9" max="9" width="31.85546875" customWidth="1"/>
    <col min="10" max="10" width="29.85546875" customWidth="1"/>
    <col min="11" max="11" width="23.42578125" customWidth="1"/>
    <col min="12" max="12" width="35.140625" customWidth="1"/>
  </cols>
  <sheetData>
    <row r="1" spans="1:12" ht="15.75" thickBot="1" x14ac:dyDescent="0.3">
      <c r="A1" s="18" t="s">
        <v>0</v>
      </c>
      <c r="B1" s="18" t="s">
        <v>1</v>
      </c>
      <c r="C1" s="18" t="s">
        <v>2</v>
      </c>
      <c r="D1" s="18" t="s">
        <v>3</v>
      </c>
      <c r="E1" s="18" t="s">
        <v>4</v>
      </c>
      <c r="F1" s="18" t="s">
        <v>5</v>
      </c>
      <c r="G1" s="18" t="s">
        <v>6</v>
      </c>
      <c r="H1" s="18" t="s">
        <v>7</v>
      </c>
      <c r="I1" s="18" t="s">
        <v>8</v>
      </c>
      <c r="J1" s="18" t="s">
        <v>9</v>
      </c>
      <c r="K1" s="18" t="s">
        <v>10</v>
      </c>
      <c r="L1" s="18" t="s">
        <v>11</v>
      </c>
    </row>
    <row r="2" spans="1:12" ht="62.25" customHeight="1" thickBot="1" x14ac:dyDescent="0.3">
      <c r="A2" s="10" t="s">
        <v>12</v>
      </c>
      <c r="B2" s="10" t="s">
        <v>13</v>
      </c>
      <c r="C2" s="10" t="s">
        <v>14</v>
      </c>
      <c r="D2" s="10" t="s">
        <v>15</v>
      </c>
      <c r="E2" s="10" t="s">
        <v>16</v>
      </c>
      <c r="F2" s="10" t="s">
        <v>17</v>
      </c>
      <c r="G2" s="10" t="s">
        <v>18</v>
      </c>
      <c r="H2" s="10" t="s">
        <v>19</v>
      </c>
      <c r="I2" s="10"/>
      <c r="J2" s="10"/>
      <c r="K2" s="10"/>
      <c r="L2" s="10" t="s">
        <v>711</v>
      </c>
    </row>
    <row r="3" spans="1:12" ht="86.25" thickBot="1" x14ac:dyDescent="0.3">
      <c r="A3" s="10" t="s">
        <v>12</v>
      </c>
      <c r="B3" s="10" t="s">
        <v>13</v>
      </c>
      <c r="C3" s="10" t="s">
        <v>20</v>
      </c>
      <c r="D3" s="17" t="s">
        <v>21</v>
      </c>
      <c r="E3" s="10" t="s">
        <v>16</v>
      </c>
      <c r="F3" s="10" t="s">
        <v>17</v>
      </c>
      <c r="G3" s="10" t="s">
        <v>18</v>
      </c>
      <c r="H3" s="10" t="s">
        <v>22</v>
      </c>
      <c r="I3" s="10"/>
      <c r="J3" s="10"/>
      <c r="K3" s="10"/>
      <c r="L3" s="10" t="s">
        <v>709</v>
      </c>
    </row>
    <row r="4" spans="1:12" ht="86.25" thickBot="1" x14ac:dyDescent="0.3">
      <c r="A4" s="10" t="s">
        <v>12</v>
      </c>
      <c r="B4" s="10" t="s">
        <v>13</v>
      </c>
      <c r="C4" s="10" t="s">
        <v>23</v>
      </c>
      <c r="D4" s="17" t="s">
        <v>24</v>
      </c>
      <c r="E4" s="10" t="s">
        <v>25</v>
      </c>
      <c r="F4" s="10" t="s">
        <v>17</v>
      </c>
      <c r="G4" s="10" t="s">
        <v>18</v>
      </c>
      <c r="H4" s="10" t="s">
        <v>19</v>
      </c>
      <c r="I4" s="10"/>
      <c r="J4" s="10"/>
      <c r="K4" s="10"/>
      <c r="L4" s="10" t="s">
        <v>710</v>
      </c>
    </row>
    <row r="5" spans="1:12" ht="72" thickBot="1" x14ac:dyDescent="0.3">
      <c r="A5" s="10" t="s">
        <v>12</v>
      </c>
      <c r="B5" s="10" t="s">
        <v>26</v>
      </c>
      <c r="C5" s="10" t="s">
        <v>27</v>
      </c>
      <c r="D5" s="10" t="s">
        <v>28</v>
      </c>
      <c r="E5" s="10" t="s">
        <v>16</v>
      </c>
      <c r="F5" s="10" t="s">
        <v>17</v>
      </c>
      <c r="G5" s="10" t="s">
        <v>18</v>
      </c>
      <c r="H5" s="10" t="s">
        <v>22</v>
      </c>
      <c r="I5" s="10"/>
      <c r="J5" s="10"/>
      <c r="K5" s="10"/>
      <c r="L5" s="10" t="s">
        <v>18</v>
      </c>
    </row>
    <row r="6" spans="1:12" ht="84" customHeight="1" thickBot="1" x14ac:dyDescent="0.3">
      <c r="A6" s="10" t="s">
        <v>12</v>
      </c>
      <c r="B6" s="10" t="s">
        <v>26</v>
      </c>
      <c r="C6" s="10" t="s">
        <v>29</v>
      </c>
      <c r="D6" s="10" t="s">
        <v>30</v>
      </c>
      <c r="E6" s="10" t="s">
        <v>16</v>
      </c>
      <c r="F6" s="10" t="s">
        <v>17</v>
      </c>
      <c r="G6" s="10" t="s">
        <v>18</v>
      </c>
      <c r="H6" s="10" t="s">
        <v>19</v>
      </c>
      <c r="I6" s="10"/>
      <c r="J6" s="10"/>
      <c r="K6" s="10"/>
      <c r="L6" s="10" t="s">
        <v>18</v>
      </c>
    </row>
    <row r="7" spans="1:12" ht="57.75" thickBot="1" x14ac:dyDescent="0.3">
      <c r="A7" s="10" t="s">
        <v>12</v>
      </c>
      <c r="B7" s="10" t="s">
        <v>31</v>
      </c>
      <c r="C7" s="10" t="s">
        <v>32</v>
      </c>
      <c r="D7" s="10" t="s">
        <v>33</v>
      </c>
      <c r="E7" s="10" t="s">
        <v>16</v>
      </c>
      <c r="F7" s="10" t="s">
        <v>17</v>
      </c>
      <c r="G7" s="10" t="s">
        <v>18</v>
      </c>
      <c r="H7" s="10" t="s">
        <v>19</v>
      </c>
      <c r="I7" s="10"/>
      <c r="J7" s="10"/>
      <c r="K7" s="10"/>
      <c r="L7" s="10"/>
    </row>
    <row r="8" spans="1:12" ht="43.5" thickBot="1" x14ac:dyDescent="0.3">
      <c r="A8" s="10" t="s">
        <v>12</v>
      </c>
      <c r="B8" s="10" t="s">
        <v>31</v>
      </c>
      <c r="C8" s="10" t="s">
        <v>34</v>
      </c>
      <c r="D8" s="10" t="s">
        <v>35</v>
      </c>
      <c r="E8" s="10" t="s">
        <v>16</v>
      </c>
      <c r="F8" s="10" t="s">
        <v>17</v>
      </c>
      <c r="G8" s="10" t="s">
        <v>18</v>
      </c>
      <c r="H8" s="10" t="s">
        <v>19</v>
      </c>
      <c r="I8" s="10"/>
      <c r="J8" s="10"/>
      <c r="K8" s="10"/>
      <c r="L8" s="10"/>
    </row>
    <row r="9" spans="1:12" ht="86.25" thickBot="1" x14ac:dyDescent="0.3">
      <c r="A9" s="10" t="s">
        <v>12</v>
      </c>
      <c r="B9" s="10" t="s">
        <v>31</v>
      </c>
      <c r="C9" s="10" t="s">
        <v>36</v>
      </c>
      <c r="D9" s="17" t="s">
        <v>37</v>
      </c>
      <c r="E9" s="10" t="s">
        <v>16</v>
      </c>
      <c r="F9" s="10" t="s">
        <v>38</v>
      </c>
      <c r="G9" s="10" t="s">
        <v>18</v>
      </c>
      <c r="H9" s="10" t="s">
        <v>19</v>
      </c>
      <c r="I9" s="10"/>
      <c r="J9" s="10"/>
      <c r="K9" s="10"/>
      <c r="L9" s="10"/>
    </row>
    <row r="10" spans="1:12" ht="57.75" thickBot="1" x14ac:dyDescent="0.3">
      <c r="A10" s="10" t="s">
        <v>12</v>
      </c>
      <c r="B10" s="10" t="s">
        <v>39</v>
      </c>
      <c r="C10" s="10" t="s">
        <v>40</v>
      </c>
      <c r="D10" s="10" t="s">
        <v>41</v>
      </c>
      <c r="E10" s="10" t="s">
        <v>16</v>
      </c>
      <c r="F10" s="10" t="s">
        <v>17</v>
      </c>
      <c r="G10" s="10" t="s">
        <v>18</v>
      </c>
      <c r="H10" s="10" t="s">
        <v>19</v>
      </c>
      <c r="I10" s="10"/>
      <c r="J10" s="10"/>
      <c r="K10" s="10"/>
      <c r="L10" s="10"/>
    </row>
    <row r="11" spans="1:12" ht="57.75" thickBot="1" x14ac:dyDescent="0.3">
      <c r="A11" s="10" t="s">
        <v>42</v>
      </c>
      <c r="B11" s="10" t="s">
        <v>43</v>
      </c>
      <c r="C11" s="10" t="s">
        <v>44</v>
      </c>
      <c r="D11" s="10" t="s">
        <v>45</v>
      </c>
      <c r="E11" s="10" t="s">
        <v>16</v>
      </c>
      <c r="F11" s="10" t="s">
        <v>17</v>
      </c>
      <c r="G11" s="10" t="s">
        <v>18</v>
      </c>
      <c r="H11" s="10" t="s">
        <v>46</v>
      </c>
      <c r="I11" s="10"/>
      <c r="J11" s="10"/>
      <c r="K11" s="10"/>
      <c r="L11" s="10"/>
    </row>
    <row r="12" spans="1:12" ht="72" thickBot="1" x14ac:dyDescent="0.3">
      <c r="A12" s="10" t="s">
        <v>42</v>
      </c>
      <c r="B12" s="10" t="s">
        <v>43</v>
      </c>
      <c r="C12" s="10" t="s">
        <v>47</v>
      </c>
      <c r="D12" s="17" t="s">
        <v>48</v>
      </c>
      <c r="E12" s="10" t="s">
        <v>16</v>
      </c>
      <c r="F12" s="10" t="s">
        <v>17</v>
      </c>
      <c r="G12" s="10" t="s">
        <v>18</v>
      </c>
      <c r="H12" s="10" t="s">
        <v>19</v>
      </c>
      <c r="I12" s="10"/>
      <c r="J12" s="10"/>
      <c r="K12" s="10"/>
      <c r="L12" s="10"/>
    </row>
    <row r="13" spans="1:12" ht="72" thickBot="1" x14ac:dyDescent="0.3">
      <c r="A13" s="10" t="s">
        <v>42</v>
      </c>
      <c r="B13" s="10" t="s">
        <v>49</v>
      </c>
      <c r="C13" s="10" t="s">
        <v>50</v>
      </c>
      <c r="D13" s="17" t="s">
        <v>51</v>
      </c>
      <c r="E13" s="10" t="s">
        <v>52</v>
      </c>
      <c r="F13" s="10" t="s">
        <v>17</v>
      </c>
      <c r="G13" s="10" t="s">
        <v>18</v>
      </c>
      <c r="H13" s="10" t="s">
        <v>22</v>
      </c>
      <c r="I13" s="10"/>
      <c r="J13" s="10"/>
      <c r="K13" s="10"/>
      <c r="L13" s="10"/>
    </row>
    <row r="14" spans="1:12" ht="86.25" thickBot="1" x14ac:dyDescent="0.3">
      <c r="A14" s="10" t="s">
        <v>42</v>
      </c>
      <c r="B14" s="10" t="s">
        <v>53</v>
      </c>
      <c r="C14" s="10" t="s">
        <v>54</v>
      </c>
      <c r="D14" s="17" t="s">
        <v>55</v>
      </c>
      <c r="E14" s="10" t="s">
        <v>16</v>
      </c>
      <c r="F14" s="10" t="s">
        <v>17</v>
      </c>
      <c r="G14" s="10" t="s">
        <v>18</v>
      </c>
      <c r="H14" s="10" t="s">
        <v>19</v>
      </c>
      <c r="I14" s="10"/>
      <c r="J14" s="10"/>
      <c r="K14" s="10"/>
      <c r="L14" s="10"/>
    </row>
    <row r="15" spans="1:12" ht="72" thickBot="1" x14ac:dyDescent="0.3">
      <c r="A15" s="10" t="s">
        <v>42</v>
      </c>
      <c r="B15" s="10" t="s">
        <v>53</v>
      </c>
      <c r="C15" s="10" t="s">
        <v>56</v>
      </c>
      <c r="D15" s="17" t="s">
        <v>57</v>
      </c>
      <c r="E15" s="10" t="s">
        <v>16</v>
      </c>
      <c r="F15" s="10" t="s">
        <v>17</v>
      </c>
      <c r="G15" s="10" t="s">
        <v>18</v>
      </c>
      <c r="H15" s="10" t="s">
        <v>19</v>
      </c>
      <c r="I15" s="10"/>
      <c r="J15" s="10"/>
      <c r="K15" s="10"/>
      <c r="L15" s="10"/>
    </row>
    <row r="16" spans="1:12" ht="57.75" thickBot="1" x14ac:dyDescent="0.3">
      <c r="A16" s="10" t="s">
        <v>42</v>
      </c>
      <c r="B16" s="10" t="s">
        <v>53</v>
      </c>
      <c r="C16" s="10" t="s">
        <v>58</v>
      </c>
      <c r="D16" s="17" t="s">
        <v>59</v>
      </c>
      <c r="E16" s="10" t="s">
        <v>16</v>
      </c>
      <c r="F16" s="10" t="s">
        <v>17</v>
      </c>
      <c r="G16" s="10" t="s">
        <v>18</v>
      </c>
      <c r="H16" s="10" t="s">
        <v>22</v>
      </c>
      <c r="I16" s="10"/>
      <c r="J16" s="10"/>
      <c r="K16" s="10"/>
      <c r="L16" s="10"/>
    </row>
    <row r="17" spans="1:12" ht="72" thickBot="1" x14ac:dyDescent="0.3">
      <c r="A17" s="10" t="s">
        <v>42</v>
      </c>
      <c r="B17" s="10" t="s">
        <v>49</v>
      </c>
      <c r="C17" s="10" t="s">
        <v>60</v>
      </c>
      <c r="D17" s="17" t="s">
        <v>61</v>
      </c>
      <c r="E17" s="10" t="s">
        <v>52</v>
      </c>
      <c r="F17" s="10" t="s">
        <v>17</v>
      </c>
      <c r="G17" s="10" t="s">
        <v>18</v>
      </c>
      <c r="H17" s="10" t="s">
        <v>22</v>
      </c>
      <c r="I17" s="10"/>
      <c r="J17" s="10"/>
      <c r="K17" s="10"/>
      <c r="L17" s="10"/>
    </row>
    <row r="18" spans="1:12" ht="57.75" thickBot="1" x14ac:dyDescent="0.3">
      <c r="A18" s="10" t="s">
        <v>42</v>
      </c>
      <c r="B18" s="10" t="s">
        <v>62</v>
      </c>
      <c r="C18" s="10" t="s">
        <v>63</v>
      </c>
      <c r="D18" s="10" t="s">
        <v>64</v>
      </c>
      <c r="E18" s="10" t="s">
        <v>16</v>
      </c>
      <c r="F18" s="10" t="s">
        <v>17</v>
      </c>
      <c r="G18" s="10" t="s">
        <v>18</v>
      </c>
      <c r="H18" s="10" t="s">
        <v>19</v>
      </c>
      <c r="I18" s="10"/>
      <c r="J18" s="10"/>
      <c r="K18" s="10"/>
      <c r="L18" s="10"/>
    </row>
    <row r="19" spans="1:12" ht="57.75" thickBot="1" x14ac:dyDescent="0.3">
      <c r="A19" s="10" t="s">
        <v>42</v>
      </c>
      <c r="B19" s="10" t="s">
        <v>62</v>
      </c>
      <c r="C19" s="10" t="s">
        <v>65</v>
      </c>
      <c r="D19" s="10" t="s">
        <v>66</v>
      </c>
      <c r="E19" s="10" t="s">
        <v>16</v>
      </c>
      <c r="F19" s="10" t="s">
        <v>17</v>
      </c>
      <c r="G19" s="10" t="s">
        <v>18</v>
      </c>
      <c r="H19" s="10" t="s">
        <v>19</v>
      </c>
      <c r="I19" s="10"/>
      <c r="J19" s="10"/>
      <c r="K19" s="10"/>
      <c r="L19" s="10"/>
    </row>
    <row r="20" spans="1:12" ht="72" thickBot="1" x14ac:dyDescent="0.3">
      <c r="A20" s="10" t="s">
        <v>42</v>
      </c>
      <c r="B20" s="10" t="s">
        <v>31</v>
      </c>
      <c r="C20" s="10" t="s">
        <v>67</v>
      </c>
      <c r="D20" s="17" t="s">
        <v>68</v>
      </c>
      <c r="E20" s="10" t="s">
        <v>16</v>
      </c>
      <c r="F20" s="10" t="s">
        <v>17</v>
      </c>
      <c r="G20" s="10" t="s">
        <v>18</v>
      </c>
      <c r="H20" s="10" t="s">
        <v>22</v>
      </c>
      <c r="I20" s="10"/>
      <c r="J20" s="10"/>
      <c r="K20" s="10"/>
      <c r="L20" s="10"/>
    </row>
    <row r="21" spans="1:12" ht="100.5" thickBot="1" x14ac:dyDescent="0.3">
      <c r="A21" s="10" t="s">
        <v>69</v>
      </c>
      <c r="B21" s="10" t="s">
        <v>53</v>
      </c>
      <c r="C21" s="10" t="s">
        <v>70</v>
      </c>
      <c r="D21" s="17" t="s">
        <v>71</v>
      </c>
      <c r="E21" s="10" t="s">
        <v>25</v>
      </c>
      <c r="F21" s="10" t="s">
        <v>72</v>
      </c>
      <c r="G21" s="10" t="s">
        <v>73</v>
      </c>
      <c r="H21" s="10" t="s">
        <v>19</v>
      </c>
      <c r="I21" s="10"/>
      <c r="J21" s="10"/>
      <c r="K21" s="10"/>
      <c r="L21" s="10"/>
    </row>
    <row r="22" spans="1:12" ht="100.5" thickBot="1" x14ac:dyDescent="0.3">
      <c r="A22" s="10" t="s">
        <v>69</v>
      </c>
      <c r="B22" s="10" t="s">
        <v>53</v>
      </c>
      <c r="C22" s="10" t="s">
        <v>74</v>
      </c>
      <c r="D22" s="17" t="s">
        <v>75</v>
      </c>
      <c r="E22" s="10" t="s">
        <v>25</v>
      </c>
      <c r="F22" s="10" t="s">
        <v>72</v>
      </c>
      <c r="G22" s="10" t="s">
        <v>73</v>
      </c>
      <c r="H22" s="10" t="s">
        <v>19</v>
      </c>
      <c r="I22" s="10"/>
      <c r="J22" s="10"/>
      <c r="K22" s="10"/>
      <c r="L22" s="10"/>
    </row>
    <row r="23" spans="1:12" ht="57.75" thickBot="1" x14ac:dyDescent="0.3">
      <c r="A23" s="10" t="s">
        <v>69</v>
      </c>
      <c r="B23" s="10" t="s">
        <v>76</v>
      </c>
      <c r="C23" s="10" t="s">
        <v>77</v>
      </c>
      <c r="D23" s="17" t="s">
        <v>78</v>
      </c>
      <c r="E23" s="10" t="s">
        <v>16</v>
      </c>
      <c r="F23" s="10" t="s">
        <v>17</v>
      </c>
      <c r="G23" s="10" t="s">
        <v>18</v>
      </c>
      <c r="H23" s="10" t="s">
        <v>19</v>
      </c>
      <c r="I23" s="10"/>
      <c r="J23" s="10"/>
      <c r="K23" s="10"/>
      <c r="L23" s="10"/>
    </row>
    <row r="24" spans="1:12" ht="15.75" thickBot="1" x14ac:dyDescent="0.3">
      <c r="A24" s="10" t="s">
        <v>69</v>
      </c>
      <c r="B24" s="10" t="s">
        <v>76</v>
      </c>
      <c r="C24" s="10" t="s">
        <v>79</v>
      </c>
      <c r="D24" s="10" t="s">
        <v>80</v>
      </c>
      <c r="E24" s="10" t="s">
        <v>16</v>
      </c>
      <c r="F24" s="10" t="s">
        <v>17</v>
      </c>
      <c r="G24" s="10" t="s">
        <v>18</v>
      </c>
      <c r="H24" s="10" t="s">
        <v>19</v>
      </c>
      <c r="I24" s="10"/>
      <c r="J24" s="10"/>
      <c r="K24" s="10"/>
      <c r="L24" s="10"/>
    </row>
    <row r="25" spans="1:12" ht="57.75" thickBot="1" x14ac:dyDescent="0.3">
      <c r="A25" s="10" t="s">
        <v>69</v>
      </c>
      <c r="B25" s="10" t="s">
        <v>76</v>
      </c>
      <c r="C25" s="10" t="s">
        <v>87</v>
      </c>
      <c r="D25" s="17" t="s">
        <v>88</v>
      </c>
      <c r="E25" s="10" t="s">
        <v>16</v>
      </c>
      <c r="F25" s="10" t="s">
        <v>17</v>
      </c>
      <c r="G25" s="10" t="s">
        <v>18</v>
      </c>
      <c r="H25" s="10" t="s">
        <v>19</v>
      </c>
      <c r="I25" s="10"/>
      <c r="J25" s="10"/>
      <c r="K25" s="10"/>
      <c r="L25" s="10"/>
    </row>
    <row r="26" spans="1:12" ht="43.5" thickBot="1" x14ac:dyDescent="0.3">
      <c r="A26" s="10" t="s">
        <v>69</v>
      </c>
      <c r="B26" s="10" t="s">
        <v>76</v>
      </c>
      <c r="C26" s="10" t="s">
        <v>84</v>
      </c>
      <c r="D26" s="10" t="s">
        <v>85</v>
      </c>
      <c r="E26" s="10" t="s">
        <v>86</v>
      </c>
      <c r="F26" s="10" t="s">
        <v>72</v>
      </c>
      <c r="G26" s="10" t="s">
        <v>18</v>
      </c>
      <c r="H26" s="10" t="s">
        <v>19</v>
      </c>
      <c r="I26" s="10"/>
      <c r="J26" s="10"/>
      <c r="K26" s="10"/>
      <c r="L26" s="10"/>
    </row>
    <row r="27" spans="1:12" ht="72" thickBot="1" x14ac:dyDescent="0.3">
      <c r="A27" s="10" t="s">
        <v>69</v>
      </c>
      <c r="B27" s="10" t="s">
        <v>89</v>
      </c>
      <c r="C27" s="10" t="s">
        <v>90</v>
      </c>
      <c r="D27" s="17" t="s">
        <v>91</v>
      </c>
      <c r="E27" s="10" t="s">
        <v>16</v>
      </c>
      <c r="F27" s="10" t="s">
        <v>17</v>
      </c>
      <c r="G27" s="10" t="s">
        <v>18</v>
      </c>
      <c r="H27" s="10" t="s">
        <v>19</v>
      </c>
      <c r="I27" s="10"/>
      <c r="J27" s="10"/>
      <c r="K27" s="10"/>
      <c r="L27" s="10"/>
    </row>
    <row r="28" spans="1:12" ht="72" thickBot="1" x14ac:dyDescent="0.3">
      <c r="A28" s="10" t="s">
        <v>69</v>
      </c>
      <c r="B28" s="10" t="s">
        <v>89</v>
      </c>
      <c r="C28" s="10" t="s">
        <v>92</v>
      </c>
      <c r="D28" s="17" t="s">
        <v>93</v>
      </c>
      <c r="E28" s="10" t="s">
        <v>16</v>
      </c>
      <c r="F28" s="10" t="s">
        <v>17</v>
      </c>
      <c r="G28" s="10" t="s">
        <v>18</v>
      </c>
      <c r="H28" s="10" t="s">
        <v>19</v>
      </c>
      <c r="I28" s="10"/>
      <c r="J28" s="10"/>
      <c r="K28" s="10"/>
      <c r="L28" s="10"/>
    </row>
    <row r="29" spans="1:12" ht="72" thickBot="1" x14ac:dyDescent="0.3">
      <c r="A29" s="10" t="s">
        <v>69</v>
      </c>
      <c r="B29" s="10" t="s">
        <v>89</v>
      </c>
      <c r="C29" s="10" t="s">
        <v>94</v>
      </c>
      <c r="D29" s="17" t="s">
        <v>95</v>
      </c>
      <c r="E29" s="10" t="s">
        <v>16</v>
      </c>
      <c r="F29" s="10" t="s">
        <v>17</v>
      </c>
      <c r="G29" s="10" t="s">
        <v>18</v>
      </c>
      <c r="H29" s="10" t="s">
        <v>19</v>
      </c>
      <c r="I29" s="10"/>
      <c r="J29" s="10"/>
      <c r="K29" s="10"/>
      <c r="L29" s="10"/>
    </row>
    <row r="30" spans="1:12" ht="72" thickBot="1" x14ac:dyDescent="0.3">
      <c r="A30" s="10" t="s">
        <v>69</v>
      </c>
      <c r="B30" s="10" t="s">
        <v>89</v>
      </c>
      <c r="C30" s="10" t="s">
        <v>96</v>
      </c>
      <c r="D30" s="17" t="s">
        <v>97</v>
      </c>
      <c r="E30" s="10" t="s">
        <v>16</v>
      </c>
      <c r="F30" s="10" t="s">
        <v>17</v>
      </c>
      <c r="G30" s="10" t="s">
        <v>18</v>
      </c>
      <c r="H30" s="10" t="s">
        <v>19</v>
      </c>
      <c r="I30" s="10"/>
      <c r="J30" s="10"/>
      <c r="K30" s="10"/>
      <c r="L30" s="10"/>
    </row>
    <row r="31" spans="1:12" ht="54" customHeight="1" thickBot="1" x14ac:dyDescent="0.3">
      <c r="A31" s="10" t="s">
        <v>69</v>
      </c>
      <c r="B31" s="10" t="s">
        <v>98</v>
      </c>
      <c r="C31" s="10" t="s">
        <v>81</v>
      </c>
      <c r="D31" s="10" t="s">
        <v>82</v>
      </c>
      <c r="E31" s="10" t="s">
        <v>83</v>
      </c>
      <c r="F31" s="10" t="s">
        <v>17</v>
      </c>
      <c r="G31" s="10" t="s">
        <v>18</v>
      </c>
      <c r="H31" s="10" t="s">
        <v>19</v>
      </c>
      <c r="I31" s="10"/>
      <c r="J31" s="10"/>
      <c r="K31" s="10"/>
      <c r="L31" s="10"/>
    </row>
    <row r="32" spans="1:12" ht="72" thickBot="1" x14ac:dyDescent="0.3">
      <c r="A32" s="10" t="s">
        <v>69</v>
      </c>
      <c r="B32" s="10" t="s">
        <v>98</v>
      </c>
      <c r="C32" s="10" t="s">
        <v>99</v>
      </c>
      <c r="D32" s="17" t="s">
        <v>100</v>
      </c>
      <c r="E32" s="10" t="s">
        <v>25</v>
      </c>
      <c r="F32" s="10" t="s">
        <v>17</v>
      </c>
      <c r="G32" s="10" t="s">
        <v>18</v>
      </c>
      <c r="H32" s="10" t="s">
        <v>19</v>
      </c>
      <c r="I32" s="10"/>
      <c r="J32" s="10"/>
      <c r="K32" s="10"/>
      <c r="L32" s="10"/>
    </row>
    <row r="33" spans="1:12" ht="57.75" thickBot="1" x14ac:dyDescent="0.3">
      <c r="A33" s="10" t="s">
        <v>69</v>
      </c>
      <c r="B33" s="10" t="s">
        <v>98</v>
      </c>
      <c r="C33" s="10" t="s">
        <v>101</v>
      </c>
      <c r="D33" s="17" t="s">
        <v>102</v>
      </c>
      <c r="E33" s="10" t="s">
        <v>16</v>
      </c>
      <c r="F33" s="10" t="s">
        <v>38</v>
      </c>
      <c r="G33" s="10" t="s">
        <v>18</v>
      </c>
      <c r="H33" s="10" t="s">
        <v>22</v>
      </c>
      <c r="I33" s="10"/>
      <c r="J33" s="10"/>
      <c r="K33" s="10"/>
      <c r="L33" s="10"/>
    </row>
    <row r="34" spans="1:12" ht="171.75" thickBot="1" x14ac:dyDescent="0.3">
      <c r="A34" s="10" t="s">
        <v>103</v>
      </c>
      <c r="B34" s="10" t="s">
        <v>104</v>
      </c>
      <c r="C34" s="10" t="s">
        <v>105</v>
      </c>
      <c r="D34" s="10" t="s">
        <v>106</v>
      </c>
      <c r="E34" s="10" t="s">
        <v>107</v>
      </c>
      <c r="F34" s="10" t="s">
        <v>72</v>
      </c>
      <c r="G34" s="10" t="s">
        <v>108</v>
      </c>
      <c r="H34" s="10" t="s">
        <v>19</v>
      </c>
      <c r="I34" s="10"/>
      <c r="J34" s="10"/>
      <c r="K34" s="10"/>
      <c r="L34" s="10"/>
    </row>
    <row r="35" spans="1:12" ht="72" thickBot="1" x14ac:dyDescent="0.3">
      <c r="A35" s="10" t="s">
        <v>103</v>
      </c>
      <c r="B35" s="10" t="s">
        <v>104</v>
      </c>
      <c r="C35" s="10" t="s">
        <v>109</v>
      </c>
      <c r="D35" s="10" t="s">
        <v>110</v>
      </c>
      <c r="E35" s="10" t="s">
        <v>111</v>
      </c>
      <c r="F35" s="10" t="s">
        <v>72</v>
      </c>
      <c r="G35" s="10" t="s">
        <v>112</v>
      </c>
      <c r="H35" s="10" t="s">
        <v>19</v>
      </c>
      <c r="I35" s="10"/>
      <c r="J35" s="10"/>
      <c r="K35" s="10"/>
      <c r="L35" s="10"/>
    </row>
    <row r="36" spans="1:12" ht="72" thickBot="1" x14ac:dyDescent="0.3">
      <c r="A36" s="10" t="s">
        <v>103</v>
      </c>
      <c r="B36" s="10" t="s">
        <v>104</v>
      </c>
      <c r="C36" s="10" t="s">
        <v>113</v>
      </c>
      <c r="D36" s="10" t="s">
        <v>114</v>
      </c>
      <c r="E36" s="10" t="s">
        <v>111</v>
      </c>
      <c r="F36" s="10" t="s">
        <v>17</v>
      </c>
      <c r="G36" s="10" t="s">
        <v>18</v>
      </c>
      <c r="H36" s="10" t="s">
        <v>19</v>
      </c>
      <c r="I36" s="10"/>
      <c r="J36" s="10"/>
      <c r="K36" s="10"/>
      <c r="L36" s="10"/>
    </row>
    <row r="37" spans="1:12" ht="72" thickBot="1" x14ac:dyDescent="0.3">
      <c r="A37" s="10" t="s">
        <v>103</v>
      </c>
      <c r="B37" s="10" t="s">
        <v>104</v>
      </c>
      <c r="C37" s="10" t="s">
        <v>115</v>
      </c>
      <c r="D37" s="10" t="s">
        <v>116</v>
      </c>
      <c r="E37" s="10" t="s">
        <v>16</v>
      </c>
      <c r="F37" s="10" t="s">
        <v>17</v>
      </c>
      <c r="G37" s="10" t="s">
        <v>18</v>
      </c>
      <c r="H37" s="10" t="s">
        <v>19</v>
      </c>
      <c r="I37" s="10"/>
      <c r="J37" s="10"/>
      <c r="K37" s="10"/>
      <c r="L37" s="10"/>
    </row>
    <row r="38" spans="1:12" ht="72" thickBot="1" x14ac:dyDescent="0.3">
      <c r="A38" s="10" t="s">
        <v>103</v>
      </c>
      <c r="B38" s="10" t="s">
        <v>104</v>
      </c>
      <c r="C38" s="10" t="s">
        <v>117</v>
      </c>
      <c r="D38" s="17" t="s">
        <v>118</v>
      </c>
      <c r="E38" s="10" t="s">
        <v>86</v>
      </c>
      <c r="F38" s="10" t="s">
        <v>72</v>
      </c>
      <c r="G38" s="10" t="s">
        <v>119</v>
      </c>
      <c r="H38" s="10" t="s">
        <v>19</v>
      </c>
      <c r="I38" s="10"/>
      <c r="J38" s="10"/>
      <c r="K38" s="10"/>
      <c r="L38" s="10"/>
    </row>
    <row r="39" spans="1:12" ht="72" thickBot="1" x14ac:dyDescent="0.3">
      <c r="A39" s="10" t="s">
        <v>120</v>
      </c>
      <c r="B39" s="10" t="s">
        <v>121</v>
      </c>
      <c r="C39" s="10" t="s">
        <v>132</v>
      </c>
      <c r="D39" s="17" t="s">
        <v>133</v>
      </c>
      <c r="E39" s="10" t="s">
        <v>111</v>
      </c>
      <c r="F39" s="10" t="s">
        <v>17</v>
      </c>
      <c r="G39" s="10" t="s">
        <v>18</v>
      </c>
      <c r="H39" s="10" t="s">
        <v>19</v>
      </c>
      <c r="I39" s="10"/>
      <c r="J39" s="10"/>
      <c r="K39" s="10"/>
      <c r="L39" s="10"/>
    </row>
    <row r="40" spans="1:12" ht="52.5" customHeight="1" thickBot="1" x14ac:dyDescent="0.3">
      <c r="A40" s="10" t="s">
        <v>120</v>
      </c>
      <c r="B40" s="10" t="s">
        <v>121</v>
      </c>
      <c r="C40" s="10" t="s">
        <v>125</v>
      </c>
      <c r="D40" s="10" t="s">
        <v>126</v>
      </c>
      <c r="E40" s="10" t="s">
        <v>111</v>
      </c>
      <c r="F40" s="10" t="s">
        <v>17</v>
      </c>
      <c r="G40" s="10" t="s">
        <v>18</v>
      </c>
      <c r="H40" s="10" t="s">
        <v>46</v>
      </c>
      <c r="I40" s="10"/>
      <c r="J40" s="10"/>
      <c r="K40" s="10"/>
      <c r="L40" s="10"/>
    </row>
    <row r="41" spans="1:12" ht="52.5" customHeight="1" thickBot="1" x14ac:dyDescent="0.3">
      <c r="A41" s="10" t="s">
        <v>120</v>
      </c>
      <c r="B41" s="10" t="s">
        <v>121</v>
      </c>
      <c r="C41" s="10" t="s">
        <v>127</v>
      </c>
      <c r="D41" s="10" t="s">
        <v>128</v>
      </c>
      <c r="E41" s="10" t="s">
        <v>111</v>
      </c>
      <c r="F41" s="10" t="s">
        <v>17</v>
      </c>
      <c r="G41" s="10" t="s">
        <v>18</v>
      </c>
      <c r="H41" s="10" t="s">
        <v>46</v>
      </c>
      <c r="I41" s="10"/>
      <c r="J41" s="10"/>
      <c r="K41" s="10"/>
      <c r="L41" s="10"/>
    </row>
    <row r="42" spans="1:12" ht="52.5" customHeight="1" thickBot="1" x14ac:dyDescent="0.3">
      <c r="A42" s="10" t="s">
        <v>120</v>
      </c>
      <c r="B42" s="10" t="s">
        <v>121</v>
      </c>
      <c r="C42" s="10" t="s">
        <v>129</v>
      </c>
      <c r="D42" s="10" t="s">
        <v>130</v>
      </c>
      <c r="E42" s="10" t="s">
        <v>111</v>
      </c>
      <c r="F42" s="10" t="s">
        <v>131</v>
      </c>
      <c r="G42" s="10" t="s">
        <v>18</v>
      </c>
      <c r="H42" s="10" t="s">
        <v>46</v>
      </c>
      <c r="I42" s="10"/>
      <c r="J42" s="10"/>
      <c r="K42" s="10"/>
      <c r="L42" s="10"/>
    </row>
    <row r="43" spans="1:12" ht="86.25" thickBot="1" x14ac:dyDescent="0.3">
      <c r="A43" s="10" t="s">
        <v>120</v>
      </c>
      <c r="B43" s="10" t="s">
        <v>121</v>
      </c>
      <c r="C43" s="10" t="s">
        <v>122</v>
      </c>
      <c r="D43" s="10" t="s">
        <v>123</v>
      </c>
      <c r="E43" s="10" t="s">
        <v>124</v>
      </c>
      <c r="F43" s="10" t="s">
        <v>17</v>
      </c>
      <c r="G43" s="10" t="s">
        <v>18</v>
      </c>
      <c r="H43" s="10" t="s">
        <v>19</v>
      </c>
      <c r="I43" s="10"/>
      <c r="J43" s="10"/>
      <c r="K43" s="10"/>
      <c r="L43" s="10"/>
    </row>
    <row r="44" spans="1:12" ht="72" thickBot="1" x14ac:dyDescent="0.3">
      <c r="A44" s="10" t="s">
        <v>120</v>
      </c>
      <c r="B44" s="10" t="s">
        <v>121</v>
      </c>
      <c r="C44" s="10" t="s">
        <v>134</v>
      </c>
      <c r="D44" s="17" t="s">
        <v>135</v>
      </c>
      <c r="E44" s="10" t="s">
        <v>111</v>
      </c>
      <c r="F44" s="10" t="s">
        <v>17</v>
      </c>
      <c r="G44" s="10" t="s">
        <v>18</v>
      </c>
      <c r="H44" s="10" t="s">
        <v>22</v>
      </c>
      <c r="I44" s="10"/>
      <c r="J44" s="10"/>
      <c r="K44" s="10"/>
      <c r="L44" s="10"/>
    </row>
    <row r="45" spans="1:12" ht="57.75" thickBot="1" x14ac:dyDescent="0.3">
      <c r="A45" s="10" t="s">
        <v>120</v>
      </c>
      <c r="B45" s="10" t="s">
        <v>121</v>
      </c>
      <c r="C45" s="10" t="s">
        <v>136</v>
      </c>
      <c r="D45" s="10" t="s">
        <v>137</v>
      </c>
      <c r="E45" s="10" t="s">
        <v>111</v>
      </c>
      <c r="F45" s="10" t="s">
        <v>17</v>
      </c>
      <c r="G45" s="10" t="s">
        <v>18</v>
      </c>
      <c r="H45" s="10" t="s">
        <v>19</v>
      </c>
      <c r="I45" s="10"/>
      <c r="J45" s="10"/>
      <c r="K45" s="10"/>
      <c r="L45" s="10"/>
    </row>
    <row r="46" spans="1:12" ht="57.75" thickBot="1" x14ac:dyDescent="0.3">
      <c r="A46" s="10" t="s">
        <v>120</v>
      </c>
      <c r="B46" s="10" t="s">
        <v>121</v>
      </c>
      <c r="C46" s="10" t="s">
        <v>138</v>
      </c>
      <c r="D46" s="10" t="s">
        <v>139</v>
      </c>
      <c r="E46" s="10" t="s">
        <v>111</v>
      </c>
      <c r="F46" s="10" t="s">
        <v>38</v>
      </c>
      <c r="G46" s="10" t="s">
        <v>18</v>
      </c>
      <c r="H46" s="10" t="s">
        <v>19</v>
      </c>
      <c r="I46" s="10"/>
      <c r="J46" s="10"/>
      <c r="K46" s="10"/>
      <c r="L46" s="10"/>
    </row>
    <row r="47" spans="1:12" ht="90.75" customHeight="1" thickBot="1" x14ac:dyDescent="0.3">
      <c r="A47" s="10" t="s">
        <v>120</v>
      </c>
      <c r="B47" s="10" t="s">
        <v>121</v>
      </c>
      <c r="C47" s="10" t="s">
        <v>140</v>
      </c>
      <c r="D47" s="10" t="s">
        <v>141</v>
      </c>
      <c r="E47" s="10" t="s">
        <v>111</v>
      </c>
      <c r="F47" s="10" t="s">
        <v>17</v>
      </c>
      <c r="G47" s="10" t="s">
        <v>18</v>
      </c>
      <c r="H47" s="10" t="s">
        <v>19</v>
      </c>
      <c r="I47" s="10"/>
      <c r="J47" s="10"/>
      <c r="K47" s="10"/>
      <c r="L47" s="10"/>
    </row>
    <row r="48" spans="1:12" ht="72" thickBot="1" x14ac:dyDescent="0.3">
      <c r="A48" s="10" t="s">
        <v>120</v>
      </c>
      <c r="B48" s="10" t="s">
        <v>121</v>
      </c>
      <c r="C48" s="10" t="s">
        <v>142</v>
      </c>
      <c r="D48" s="17" t="s">
        <v>143</v>
      </c>
      <c r="E48" s="10" t="s">
        <v>111</v>
      </c>
      <c r="F48" s="10" t="s">
        <v>17</v>
      </c>
      <c r="G48" s="10" t="s">
        <v>18</v>
      </c>
      <c r="H48" s="10" t="s">
        <v>22</v>
      </c>
      <c r="I48" s="10"/>
      <c r="J48" s="10"/>
      <c r="K48" s="10"/>
      <c r="L48" s="10"/>
    </row>
    <row r="49" spans="1:12" ht="78.75" customHeight="1" thickBot="1" x14ac:dyDescent="0.3">
      <c r="A49" s="10" t="s">
        <v>120</v>
      </c>
      <c r="B49" s="10" t="s">
        <v>144</v>
      </c>
      <c r="C49" s="10" t="s">
        <v>145</v>
      </c>
      <c r="D49" s="10" t="s">
        <v>146</v>
      </c>
      <c r="E49" s="10" t="s">
        <v>147</v>
      </c>
      <c r="F49" s="10" t="s">
        <v>17</v>
      </c>
      <c r="G49" s="10" t="s">
        <v>18</v>
      </c>
      <c r="H49" s="10" t="s">
        <v>46</v>
      </c>
      <c r="I49" s="10"/>
      <c r="J49" s="10"/>
      <c r="K49" s="10"/>
      <c r="L49" s="10"/>
    </row>
    <row r="50" spans="1:12" ht="94.5" customHeight="1" thickBot="1" x14ac:dyDescent="0.3">
      <c r="A50" s="10" t="s">
        <v>120</v>
      </c>
      <c r="B50" s="10" t="s">
        <v>144</v>
      </c>
      <c r="C50" s="10" t="s">
        <v>148</v>
      </c>
      <c r="D50" s="10" t="s">
        <v>149</v>
      </c>
      <c r="E50" s="10" t="s">
        <v>147</v>
      </c>
      <c r="F50" s="10" t="s">
        <v>17</v>
      </c>
      <c r="G50" s="10" t="s">
        <v>18</v>
      </c>
      <c r="H50" s="10" t="s">
        <v>46</v>
      </c>
      <c r="I50" s="10"/>
      <c r="J50" s="10"/>
      <c r="K50" s="10"/>
      <c r="L50" s="10"/>
    </row>
    <row r="51" spans="1:12" ht="43.5" thickBot="1" x14ac:dyDescent="0.3">
      <c r="A51" s="10" t="s">
        <v>120</v>
      </c>
      <c r="B51" s="10" t="s">
        <v>150</v>
      </c>
      <c r="C51" s="10" t="s">
        <v>151</v>
      </c>
      <c r="D51" s="10" t="s">
        <v>152</v>
      </c>
      <c r="E51" s="10" t="s">
        <v>52</v>
      </c>
      <c r="F51" s="10" t="s">
        <v>17</v>
      </c>
      <c r="G51" s="10" t="s">
        <v>18</v>
      </c>
      <c r="H51" s="10" t="s">
        <v>19</v>
      </c>
      <c r="I51" s="10"/>
      <c r="J51" s="10"/>
      <c r="K51" s="10"/>
      <c r="L51" s="10"/>
    </row>
    <row r="52" spans="1:12" ht="57.75" thickBot="1" x14ac:dyDescent="0.3">
      <c r="A52" s="10" t="s">
        <v>120</v>
      </c>
      <c r="B52" s="10" t="s">
        <v>150</v>
      </c>
      <c r="C52" s="10" t="s">
        <v>153</v>
      </c>
      <c r="D52" s="10" t="s">
        <v>154</v>
      </c>
      <c r="E52" s="10" t="s">
        <v>52</v>
      </c>
      <c r="F52" s="10" t="s">
        <v>17</v>
      </c>
      <c r="G52" s="10" t="s">
        <v>18</v>
      </c>
      <c r="H52" s="10" t="s">
        <v>19</v>
      </c>
      <c r="I52" s="10"/>
      <c r="J52" s="10"/>
      <c r="K52" s="10"/>
      <c r="L52" s="10"/>
    </row>
    <row r="53" spans="1:12" ht="72" thickBot="1" x14ac:dyDescent="0.3">
      <c r="A53" s="10" t="s">
        <v>120</v>
      </c>
      <c r="B53" s="10" t="s">
        <v>155</v>
      </c>
      <c r="C53" s="10" t="s">
        <v>156</v>
      </c>
      <c r="D53" s="10" t="s">
        <v>157</v>
      </c>
      <c r="E53" s="10" t="s">
        <v>86</v>
      </c>
      <c r="F53" s="10" t="s">
        <v>72</v>
      </c>
      <c r="G53" s="10" t="s">
        <v>158</v>
      </c>
      <c r="H53" s="10" t="s">
        <v>19</v>
      </c>
      <c r="I53" s="10"/>
      <c r="J53" s="10"/>
      <c r="K53" s="10"/>
      <c r="L53" s="10"/>
    </row>
    <row r="54" spans="1:12" ht="72" thickBot="1" x14ac:dyDescent="0.3">
      <c r="A54" s="10" t="s">
        <v>120</v>
      </c>
      <c r="B54" s="10" t="s">
        <v>159</v>
      </c>
      <c r="C54" s="10" t="s">
        <v>160</v>
      </c>
      <c r="D54" s="17" t="s">
        <v>161</v>
      </c>
      <c r="E54" s="10" t="s">
        <v>16</v>
      </c>
      <c r="F54" s="10" t="s">
        <v>17</v>
      </c>
      <c r="G54" s="10" t="s">
        <v>18</v>
      </c>
      <c r="H54" s="10" t="s">
        <v>22</v>
      </c>
      <c r="I54" s="10"/>
      <c r="J54" s="10"/>
      <c r="K54" s="10"/>
      <c r="L54" s="10"/>
    </row>
    <row r="55" spans="1:12" ht="72" thickBot="1" x14ac:dyDescent="0.3">
      <c r="A55" s="10" t="s">
        <v>120</v>
      </c>
      <c r="B55" s="10" t="s">
        <v>159</v>
      </c>
      <c r="C55" s="10" t="s">
        <v>162</v>
      </c>
      <c r="D55" s="17" t="s">
        <v>163</v>
      </c>
      <c r="E55" s="10" t="s">
        <v>16</v>
      </c>
      <c r="F55" s="10" t="s">
        <v>17</v>
      </c>
      <c r="G55" s="10" t="s">
        <v>18</v>
      </c>
      <c r="H55" s="10" t="s">
        <v>22</v>
      </c>
      <c r="I55" s="10"/>
      <c r="J55" s="10"/>
      <c r="K55" s="10"/>
      <c r="L55" s="10"/>
    </row>
    <row r="56" spans="1:12" ht="57.75" thickBot="1" x14ac:dyDescent="0.3">
      <c r="A56" s="10" t="s">
        <v>120</v>
      </c>
      <c r="B56" s="10" t="s">
        <v>159</v>
      </c>
      <c r="C56" s="10" t="s">
        <v>164</v>
      </c>
      <c r="D56" s="10" t="s">
        <v>165</v>
      </c>
      <c r="E56" s="10" t="s">
        <v>16</v>
      </c>
      <c r="F56" s="10" t="s">
        <v>17</v>
      </c>
      <c r="G56" s="10" t="s">
        <v>18</v>
      </c>
      <c r="H56" s="10" t="s">
        <v>19</v>
      </c>
      <c r="I56" s="10"/>
      <c r="J56" s="10"/>
      <c r="K56" s="10"/>
      <c r="L56" s="10"/>
    </row>
    <row r="57" spans="1:12" ht="57.75" thickBot="1" x14ac:dyDescent="0.3">
      <c r="A57" s="10" t="s">
        <v>120</v>
      </c>
      <c r="B57" s="10" t="s">
        <v>159</v>
      </c>
      <c r="C57" s="10" t="s">
        <v>166</v>
      </c>
      <c r="D57" s="10" t="s">
        <v>167</v>
      </c>
      <c r="E57" s="10" t="s">
        <v>16</v>
      </c>
      <c r="F57" s="10" t="s">
        <v>17</v>
      </c>
      <c r="G57" s="10" t="s">
        <v>18</v>
      </c>
      <c r="H57" s="10" t="s">
        <v>19</v>
      </c>
      <c r="I57" s="10"/>
      <c r="J57" s="10"/>
      <c r="K57" s="10"/>
      <c r="L57" s="10"/>
    </row>
    <row r="58" spans="1:12" ht="57.75" thickBot="1" x14ac:dyDescent="0.3">
      <c r="A58" s="10" t="s">
        <v>120</v>
      </c>
      <c r="B58" s="10" t="s">
        <v>159</v>
      </c>
      <c r="C58" s="10" t="s">
        <v>168</v>
      </c>
      <c r="D58" s="10" t="s">
        <v>169</v>
      </c>
      <c r="E58" s="10" t="s">
        <v>16</v>
      </c>
      <c r="F58" s="10" t="s">
        <v>17</v>
      </c>
      <c r="G58" s="10" t="s">
        <v>18</v>
      </c>
      <c r="H58" s="10" t="s">
        <v>19</v>
      </c>
      <c r="I58" s="10"/>
      <c r="J58" s="10"/>
      <c r="K58" s="10"/>
      <c r="L58" s="10"/>
    </row>
    <row r="59" spans="1:12" ht="57.75" thickBot="1" x14ac:dyDescent="0.3">
      <c r="A59" s="10" t="s">
        <v>120</v>
      </c>
      <c r="B59" s="10" t="s">
        <v>159</v>
      </c>
      <c r="C59" s="11" t="s">
        <v>170</v>
      </c>
      <c r="D59" s="10" t="s">
        <v>171</v>
      </c>
      <c r="E59" s="10" t="s">
        <v>16</v>
      </c>
      <c r="F59" s="10" t="s">
        <v>17</v>
      </c>
      <c r="G59" s="10" t="s">
        <v>18</v>
      </c>
      <c r="H59" s="10" t="s">
        <v>19</v>
      </c>
      <c r="I59" s="10"/>
      <c r="J59" s="10"/>
      <c r="K59" s="10"/>
      <c r="L59" s="10"/>
    </row>
    <row r="60" spans="1:12" ht="72" thickBot="1" x14ac:dyDescent="0.3">
      <c r="A60" s="10" t="s">
        <v>120</v>
      </c>
      <c r="B60" s="10" t="s">
        <v>172</v>
      </c>
      <c r="C60" s="10" t="s">
        <v>173</v>
      </c>
      <c r="D60" s="10" t="s">
        <v>174</v>
      </c>
      <c r="E60" s="10" t="s">
        <v>52</v>
      </c>
      <c r="F60" s="10" t="s">
        <v>175</v>
      </c>
      <c r="G60" s="10" t="s">
        <v>176</v>
      </c>
      <c r="H60" s="10" t="s">
        <v>19</v>
      </c>
      <c r="I60" s="10"/>
      <c r="J60" s="10"/>
      <c r="K60" s="10"/>
      <c r="L60" s="10"/>
    </row>
    <row r="61" spans="1:12" ht="57.75" thickBot="1" x14ac:dyDescent="0.3">
      <c r="A61" s="10" t="s">
        <v>120</v>
      </c>
      <c r="B61" s="10" t="s">
        <v>177</v>
      </c>
      <c r="C61" s="10" t="s">
        <v>178</v>
      </c>
      <c r="D61" s="10" t="s">
        <v>179</v>
      </c>
      <c r="E61" s="10" t="s">
        <v>16</v>
      </c>
      <c r="F61" s="10" t="s">
        <v>38</v>
      </c>
      <c r="G61" s="10" t="s">
        <v>18</v>
      </c>
      <c r="H61" s="10" t="s">
        <v>46</v>
      </c>
      <c r="I61" s="10"/>
      <c r="J61" s="10"/>
      <c r="K61" s="10"/>
      <c r="L61" s="10"/>
    </row>
    <row r="62" spans="1:12" ht="86.25" thickBot="1" x14ac:dyDescent="0.3">
      <c r="A62" s="10" t="s">
        <v>120</v>
      </c>
      <c r="B62" s="10" t="s">
        <v>180</v>
      </c>
      <c r="C62" s="10" t="s">
        <v>181</v>
      </c>
      <c r="D62" s="10" t="s">
        <v>182</v>
      </c>
      <c r="E62" s="10" t="s">
        <v>183</v>
      </c>
      <c r="F62" s="10" t="s">
        <v>184</v>
      </c>
      <c r="G62" s="10" t="s">
        <v>185</v>
      </c>
      <c r="H62" s="10" t="s">
        <v>46</v>
      </c>
      <c r="I62" s="10"/>
      <c r="J62" s="10"/>
      <c r="K62" s="10"/>
      <c r="L62" s="10"/>
    </row>
    <row r="63" spans="1:12" ht="86.25" thickBot="1" x14ac:dyDescent="0.3">
      <c r="A63" s="10" t="s">
        <v>120</v>
      </c>
      <c r="B63" s="10" t="s">
        <v>180</v>
      </c>
      <c r="C63" s="10" t="s">
        <v>186</v>
      </c>
      <c r="D63" s="10" t="s">
        <v>187</v>
      </c>
      <c r="E63" s="10" t="s">
        <v>52</v>
      </c>
      <c r="F63" s="10" t="s">
        <v>131</v>
      </c>
      <c r="G63" s="10" t="s">
        <v>18</v>
      </c>
      <c r="H63" s="10" t="s">
        <v>19</v>
      </c>
      <c r="I63" s="10"/>
      <c r="J63" s="10"/>
      <c r="K63" s="10"/>
      <c r="L63" s="10"/>
    </row>
    <row r="64" spans="1:12" ht="72" thickBot="1" x14ac:dyDescent="0.3">
      <c r="A64" s="10" t="s">
        <v>120</v>
      </c>
      <c r="B64" s="10" t="s">
        <v>180</v>
      </c>
      <c r="C64" s="10" t="s">
        <v>188</v>
      </c>
      <c r="D64" s="10" t="s">
        <v>189</v>
      </c>
      <c r="E64" s="10" t="s">
        <v>190</v>
      </c>
      <c r="F64" s="10" t="s">
        <v>131</v>
      </c>
      <c r="G64" s="10" t="s">
        <v>18</v>
      </c>
      <c r="H64" s="10" t="s">
        <v>46</v>
      </c>
      <c r="I64" s="10"/>
      <c r="J64" s="10"/>
      <c r="K64" s="10"/>
      <c r="L64" s="10"/>
    </row>
    <row r="65" spans="1:12" ht="72" thickBot="1" x14ac:dyDescent="0.3">
      <c r="A65" s="10" t="s">
        <v>120</v>
      </c>
      <c r="B65" s="10" t="s">
        <v>191</v>
      </c>
      <c r="C65" s="10" t="s">
        <v>192</v>
      </c>
      <c r="D65" s="10" t="s">
        <v>193</v>
      </c>
      <c r="E65" s="10" t="s">
        <v>194</v>
      </c>
      <c r="F65" s="10" t="s">
        <v>131</v>
      </c>
      <c r="G65" s="10" t="s">
        <v>18</v>
      </c>
      <c r="H65" s="10" t="s">
        <v>19</v>
      </c>
      <c r="I65" s="10"/>
      <c r="J65" s="10"/>
      <c r="K65" s="10"/>
      <c r="L65" s="10"/>
    </row>
    <row r="66" spans="1:12" ht="72" thickBot="1" x14ac:dyDescent="0.3">
      <c r="A66" s="10" t="s">
        <v>195</v>
      </c>
      <c r="B66" s="10" t="s">
        <v>196</v>
      </c>
      <c r="C66" s="10" t="s">
        <v>197</v>
      </c>
      <c r="D66" s="10" t="s">
        <v>198</v>
      </c>
      <c r="E66" s="10" t="s">
        <v>199</v>
      </c>
      <c r="F66" s="10" t="s">
        <v>175</v>
      </c>
      <c r="G66" s="10" t="s">
        <v>200</v>
      </c>
      <c r="H66" s="10" t="s">
        <v>46</v>
      </c>
      <c r="I66" s="10"/>
      <c r="J66" s="10"/>
      <c r="K66" s="10"/>
      <c r="L66" s="10"/>
    </row>
    <row r="67" spans="1:12" ht="72" thickBot="1" x14ac:dyDescent="0.3">
      <c r="A67" s="10" t="s">
        <v>195</v>
      </c>
      <c r="B67" s="10" t="s">
        <v>196</v>
      </c>
      <c r="C67" s="10" t="s">
        <v>201</v>
      </c>
      <c r="D67" s="10" t="s">
        <v>202</v>
      </c>
      <c r="E67" s="10" t="s">
        <v>203</v>
      </c>
      <c r="F67" s="10" t="s">
        <v>38</v>
      </c>
      <c r="G67" s="10" t="s">
        <v>18</v>
      </c>
      <c r="H67" s="10" t="s">
        <v>19</v>
      </c>
      <c r="I67" s="10"/>
      <c r="J67" s="10"/>
      <c r="K67" s="10"/>
      <c r="L67" s="10"/>
    </row>
    <row r="68" spans="1:12" ht="72" thickBot="1" x14ac:dyDescent="0.3">
      <c r="A68" s="10" t="s">
        <v>195</v>
      </c>
      <c r="B68" s="10" t="s">
        <v>204</v>
      </c>
      <c r="C68" s="10" t="s">
        <v>205</v>
      </c>
      <c r="D68" s="10" t="s">
        <v>206</v>
      </c>
      <c r="E68" s="10" t="s">
        <v>207</v>
      </c>
      <c r="F68" s="10" t="s">
        <v>38</v>
      </c>
      <c r="G68" s="10" t="s">
        <v>18</v>
      </c>
      <c r="H68" s="10" t="s">
        <v>22</v>
      </c>
      <c r="I68" s="10"/>
      <c r="J68" s="10"/>
      <c r="K68" s="10"/>
      <c r="L68" s="10"/>
    </row>
    <row r="69" spans="1:12" ht="57.75" thickBot="1" x14ac:dyDescent="0.3">
      <c r="A69" s="10" t="s">
        <v>195</v>
      </c>
      <c r="B69" s="10" t="s">
        <v>208</v>
      </c>
      <c r="C69" s="10" t="s">
        <v>209</v>
      </c>
      <c r="D69" s="10" t="s">
        <v>210</v>
      </c>
      <c r="E69" s="10" t="s">
        <v>211</v>
      </c>
      <c r="F69" s="10" t="s">
        <v>131</v>
      </c>
      <c r="G69" s="10" t="s">
        <v>18</v>
      </c>
      <c r="H69" s="10" t="s">
        <v>46</v>
      </c>
      <c r="I69" s="10"/>
      <c r="J69" s="10"/>
      <c r="K69" s="10"/>
      <c r="L69" s="10"/>
    </row>
    <row r="70" spans="1:12" ht="43.5" thickBot="1" x14ac:dyDescent="0.3">
      <c r="A70" s="10" t="s">
        <v>195</v>
      </c>
      <c r="B70" s="10" t="s">
        <v>208</v>
      </c>
      <c r="C70" s="10" t="s">
        <v>212</v>
      </c>
      <c r="D70" s="10" t="s">
        <v>213</v>
      </c>
      <c r="E70" s="10" t="s">
        <v>211</v>
      </c>
      <c r="F70" s="10" t="s">
        <v>131</v>
      </c>
      <c r="G70" s="10" t="s">
        <v>18</v>
      </c>
      <c r="H70" s="10" t="s">
        <v>46</v>
      </c>
      <c r="I70" s="10"/>
      <c r="J70" s="10"/>
      <c r="K70" s="10"/>
      <c r="L70" s="10"/>
    </row>
    <row r="71" spans="1:12" ht="43.5" thickBot="1" x14ac:dyDescent="0.3">
      <c r="A71" s="10" t="s">
        <v>195</v>
      </c>
      <c r="B71" s="10" t="s">
        <v>208</v>
      </c>
      <c r="C71" s="10" t="s">
        <v>214</v>
      </c>
      <c r="D71" s="10" t="s">
        <v>215</v>
      </c>
      <c r="E71" s="10" t="s">
        <v>211</v>
      </c>
      <c r="F71" s="10" t="s">
        <v>131</v>
      </c>
      <c r="G71" s="10" t="s">
        <v>18</v>
      </c>
      <c r="H71" s="10" t="s">
        <v>46</v>
      </c>
      <c r="I71" s="10"/>
      <c r="J71" s="10"/>
      <c r="K71" s="18"/>
      <c r="L71" s="18"/>
    </row>
    <row r="72" spans="1:12" ht="57.75" thickBot="1" x14ac:dyDescent="0.3">
      <c r="A72" s="10" t="s">
        <v>195</v>
      </c>
      <c r="B72" s="10" t="s">
        <v>208</v>
      </c>
      <c r="C72" s="10" t="s">
        <v>216</v>
      </c>
      <c r="D72" s="10" t="s">
        <v>217</v>
      </c>
      <c r="E72" s="10" t="s">
        <v>218</v>
      </c>
      <c r="F72" s="10" t="s">
        <v>131</v>
      </c>
      <c r="G72" s="10" t="s">
        <v>18</v>
      </c>
      <c r="H72" s="10" t="s">
        <v>46</v>
      </c>
      <c r="I72" s="10"/>
      <c r="J72" s="10"/>
      <c r="K72" s="10"/>
      <c r="L72" s="10"/>
    </row>
    <row r="73" spans="1:12" ht="57.75" thickBot="1" x14ac:dyDescent="0.3">
      <c r="A73" s="10" t="s">
        <v>195</v>
      </c>
      <c r="B73" s="10" t="s">
        <v>208</v>
      </c>
      <c r="C73" s="10" t="s">
        <v>219</v>
      </c>
      <c r="D73" s="10" t="s">
        <v>220</v>
      </c>
      <c r="E73" s="10" t="s">
        <v>221</v>
      </c>
      <c r="F73" s="10" t="s">
        <v>38</v>
      </c>
      <c r="G73" s="10" t="s">
        <v>18</v>
      </c>
      <c r="H73" s="10" t="s">
        <v>19</v>
      </c>
      <c r="I73" s="10"/>
      <c r="J73" s="10"/>
      <c r="K73" s="10"/>
      <c r="L73" s="10"/>
    </row>
    <row r="74" spans="1:12" ht="72" thickBot="1" x14ac:dyDescent="0.3">
      <c r="A74" s="10" t="s">
        <v>195</v>
      </c>
      <c r="B74" s="10" t="s">
        <v>222</v>
      </c>
      <c r="C74" s="10" t="s">
        <v>223</v>
      </c>
      <c r="D74" s="10" t="s">
        <v>224</v>
      </c>
      <c r="E74" s="10" t="s">
        <v>83</v>
      </c>
      <c r="F74" s="10" t="s">
        <v>72</v>
      </c>
      <c r="G74" s="10" t="s">
        <v>225</v>
      </c>
      <c r="H74" s="10" t="s">
        <v>46</v>
      </c>
      <c r="I74" s="10"/>
      <c r="J74" s="10"/>
      <c r="K74" s="10"/>
      <c r="L74" s="10"/>
    </row>
    <row r="75" spans="1:12" ht="57.75" thickBot="1" x14ac:dyDescent="0.3">
      <c r="A75" s="10" t="s">
        <v>195</v>
      </c>
      <c r="B75" s="10" t="s">
        <v>222</v>
      </c>
      <c r="C75" s="10" t="s">
        <v>226</v>
      </c>
      <c r="D75" s="10" t="s">
        <v>227</v>
      </c>
      <c r="E75" s="10" t="s">
        <v>228</v>
      </c>
      <c r="F75" s="10" t="s">
        <v>131</v>
      </c>
      <c r="G75" s="10" t="s">
        <v>18</v>
      </c>
      <c r="H75" s="10" t="s">
        <v>46</v>
      </c>
      <c r="I75" s="10"/>
      <c r="J75" s="10"/>
      <c r="K75" s="10"/>
      <c r="L75" s="10"/>
    </row>
    <row r="76" spans="1:12" ht="57.75" thickBot="1" x14ac:dyDescent="0.3">
      <c r="A76" s="10" t="s">
        <v>195</v>
      </c>
      <c r="B76" s="10" t="s">
        <v>222</v>
      </c>
      <c r="C76" s="10" t="s">
        <v>229</v>
      </c>
      <c r="D76" s="10" t="s">
        <v>230</v>
      </c>
      <c r="E76" s="10" t="s">
        <v>228</v>
      </c>
      <c r="F76" s="10" t="s">
        <v>131</v>
      </c>
      <c r="G76" s="10" t="s">
        <v>18</v>
      </c>
      <c r="H76" s="10" t="s">
        <v>46</v>
      </c>
      <c r="I76" s="10"/>
      <c r="J76" s="10"/>
      <c r="K76" s="10"/>
      <c r="L76" s="10"/>
    </row>
    <row r="77" spans="1:12" ht="57.75" thickBot="1" x14ac:dyDescent="0.3">
      <c r="A77" s="10" t="s">
        <v>195</v>
      </c>
      <c r="B77" s="10" t="s">
        <v>231</v>
      </c>
      <c r="C77" s="10" t="s">
        <v>232</v>
      </c>
      <c r="D77" s="10" t="s">
        <v>233</v>
      </c>
      <c r="E77" s="10" t="s">
        <v>83</v>
      </c>
      <c r="F77" s="10" t="s">
        <v>72</v>
      </c>
      <c r="G77" s="10" t="s">
        <v>234</v>
      </c>
      <c r="H77" s="10" t="s">
        <v>19</v>
      </c>
      <c r="I77" s="10"/>
      <c r="J77" s="10"/>
      <c r="K77" s="10"/>
      <c r="L77" s="10"/>
    </row>
    <row r="78" spans="1:12" ht="43.5" thickBot="1" x14ac:dyDescent="0.3">
      <c r="A78" s="10" t="s">
        <v>195</v>
      </c>
      <c r="B78" s="10" t="s">
        <v>231</v>
      </c>
      <c r="C78" s="10" t="s">
        <v>235</v>
      </c>
      <c r="D78" s="10" t="s">
        <v>236</v>
      </c>
      <c r="E78" s="10" t="s">
        <v>83</v>
      </c>
      <c r="F78" s="10" t="s">
        <v>72</v>
      </c>
      <c r="G78" s="10" t="s">
        <v>237</v>
      </c>
      <c r="H78" s="10" t="s">
        <v>19</v>
      </c>
      <c r="I78" s="10"/>
      <c r="J78" s="10"/>
      <c r="K78" s="10"/>
      <c r="L78" s="10"/>
    </row>
    <row r="79" spans="1:12" ht="57.75" thickBot="1" x14ac:dyDescent="0.3">
      <c r="A79" s="10" t="s">
        <v>195</v>
      </c>
      <c r="B79" s="10" t="s">
        <v>231</v>
      </c>
      <c r="C79" s="10" t="s">
        <v>238</v>
      </c>
      <c r="D79" s="10" t="s">
        <v>239</v>
      </c>
      <c r="E79" s="10" t="s">
        <v>83</v>
      </c>
      <c r="F79" s="10" t="s">
        <v>175</v>
      </c>
      <c r="G79" s="10" t="s">
        <v>240</v>
      </c>
      <c r="H79" s="10" t="s">
        <v>46</v>
      </c>
      <c r="I79" s="10"/>
      <c r="J79" s="10"/>
      <c r="K79" s="10"/>
      <c r="L79" s="10"/>
    </row>
    <row r="80" spans="1:12" ht="57.75" thickBot="1" x14ac:dyDescent="0.3">
      <c r="A80" s="10" t="s">
        <v>195</v>
      </c>
      <c r="B80" s="10" t="s">
        <v>231</v>
      </c>
      <c r="C80" s="10" t="s">
        <v>241</v>
      </c>
      <c r="D80" s="10" t="s">
        <v>242</v>
      </c>
      <c r="E80" s="10" t="s">
        <v>83</v>
      </c>
      <c r="F80" s="10" t="s">
        <v>131</v>
      </c>
      <c r="G80" s="10" t="s">
        <v>18</v>
      </c>
      <c r="H80" s="10" t="s">
        <v>46</v>
      </c>
      <c r="I80" s="10"/>
      <c r="J80" s="10"/>
      <c r="K80" s="10"/>
      <c r="L80" s="10"/>
    </row>
    <row r="81" spans="1:12" ht="100.5" thickBot="1" x14ac:dyDescent="0.3">
      <c r="A81" s="10" t="s">
        <v>195</v>
      </c>
      <c r="B81" s="10" t="s">
        <v>243</v>
      </c>
      <c r="C81" s="10" t="s">
        <v>244</v>
      </c>
      <c r="D81" s="10" t="s">
        <v>245</v>
      </c>
      <c r="E81" s="10" t="s">
        <v>246</v>
      </c>
      <c r="F81" s="10" t="s">
        <v>175</v>
      </c>
      <c r="G81" s="10" t="s">
        <v>247</v>
      </c>
      <c r="H81" s="10" t="s">
        <v>46</v>
      </c>
      <c r="I81" s="10"/>
      <c r="J81" s="10"/>
      <c r="K81" s="10"/>
      <c r="L81" s="10"/>
    </row>
    <row r="82" spans="1:12" ht="72" thickBot="1" x14ac:dyDescent="0.3">
      <c r="A82" s="10" t="s">
        <v>195</v>
      </c>
      <c r="B82" s="10" t="s">
        <v>248</v>
      </c>
      <c r="C82" s="10" t="s">
        <v>249</v>
      </c>
      <c r="D82" s="10" t="s">
        <v>250</v>
      </c>
      <c r="E82" s="10" t="s">
        <v>712</v>
      </c>
      <c r="F82" s="10" t="s">
        <v>72</v>
      </c>
      <c r="G82" s="10" t="s">
        <v>251</v>
      </c>
      <c r="H82" s="10" t="s">
        <v>19</v>
      </c>
      <c r="I82" s="10"/>
      <c r="J82" s="10"/>
      <c r="K82" s="10"/>
      <c r="L82" s="10"/>
    </row>
    <row r="83" spans="1:12" ht="72" thickBot="1" x14ac:dyDescent="0.3">
      <c r="A83" s="10" t="s">
        <v>195</v>
      </c>
      <c r="B83" s="10" t="s">
        <v>248</v>
      </c>
      <c r="C83" s="10" t="s">
        <v>252</v>
      </c>
      <c r="D83" s="10" t="s">
        <v>253</v>
      </c>
      <c r="E83" s="10" t="s">
        <v>254</v>
      </c>
      <c r="F83" s="10" t="s">
        <v>38</v>
      </c>
      <c r="G83" s="10" t="s">
        <v>18</v>
      </c>
      <c r="H83" s="10" t="s">
        <v>19</v>
      </c>
      <c r="I83" s="10"/>
      <c r="J83" s="10"/>
      <c r="K83" s="10"/>
      <c r="L83" s="10"/>
    </row>
    <row r="84" spans="1:12" ht="72" thickBot="1" x14ac:dyDescent="0.3">
      <c r="A84" s="10" t="s">
        <v>195</v>
      </c>
      <c r="B84" s="10" t="s">
        <v>255</v>
      </c>
      <c r="C84" s="10" t="s">
        <v>256</v>
      </c>
      <c r="D84" s="10" t="s">
        <v>257</v>
      </c>
      <c r="E84" s="10" t="s">
        <v>258</v>
      </c>
      <c r="F84" s="10" t="s">
        <v>38</v>
      </c>
      <c r="G84" s="10" t="s">
        <v>18</v>
      </c>
      <c r="H84" s="10" t="s">
        <v>46</v>
      </c>
      <c r="I84" s="10"/>
      <c r="J84" s="10"/>
      <c r="K84" s="10"/>
      <c r="L84" s="10"/>
    </row>
    <row r="85" spans="1:12" ht="72" thickBot="1" x14ac:dyDescent="0.3">
      <c r="A85" s="10" t="s">
        <v>195</v>
      </c>
      <c r="B85" s="10" t="s">
        <v>255</v>
      </c>
      <c r="C85" s="10" t="s">
        <v>259</v>
      </c>
      <c r="D85" s="10" t="s">
        <v>260</v>
      </c>
      <c r="E85" s="10" t="s">
        <v>258</v>
      </c>
      <c r="F85" s="10" t="s">
        <v>38</v>
      </c>
      <c r="G85" s="10" t="s">
        <v>18</v>
      </c>
      <c r="H85" s="10" t="s">
        <v>46</v>
      </c>
      <c r="I85" s="10"/>
      <c r="J85" s="10"/>
      <c r="K85" s="10"/>
      <c r="L85" s="10"/>
    </row>
    <row r="86" spans="1:12" ht="57.75" thickBot="1" x14ac:dyDescent="0.3">
      <c r="A86" s="10" t="s">
        <v>195</v>
      </c>
      <c r="B86" s="10" t="s">
        <v>261</v>
      </c>
      <c r="C86" s="10" t="s">
        <v>262</v>
      </c>
      <c r="D86" s="10" t="s">
        <v>263</v>
      </c>
      <c r="E86" s="10" t="s">
        <v>258</v>
      </c>
      <c r="F86" s="10" t="s">
        <v>131</v>
      </c>
      <c r="G86" s="10" t="s">
        <v>18</v>
      </c>
      <c r="H86" s="10" t="s">
        <v>46</v>
      </c>
      <c r="I86" s="10"/>
      <c r="J86" s="10"/>
      <c r="K86" s="10"/>
      <c r="L86" s="10"/>
    </row>
    <row r="87" spans="1:12" ht="57.75" thickBot="1" x14ac:dyDescent="0.3">
      <c r="A87" s="10" t="s">
        <v>195</v>
      </c>
      <c r="B87" s="10" t="s">
        <v>261</v>
      </c>
      <c r="C87" s="10" t="s">
        <v>264</v>
      </c>
      <c r="D87" s="10" t="s">
        <v>265</v>
      </c>
      <c r="E87" s="10" t="s">
        <v>228</v>
      </c>
      <c r="F87" s="10" t="s">
        <v>131</v>
      </c>
      <c r="G87" s="10" t="s">
        <v>18</v>
      </c>
      <c r="H87" s="10" t="s">
        <v>46</v>
      </c>
      <c r="I87" s="10"/>
      <c r="J87" s="10"/>
      <c r="K87" s="10"/>
      <c r="L87" s="10"/>
    </row>
    <row r="88" spans="1:12" ht="72" thickBot="1" x14ac:dyDescent="0.3">
      <c r="A88" s="10" t="s">
        <v>195</v>
      </c>
      <c r="B88" s="10" t="s">
        <v>266</v>
      </c>
      <c r="C88" s="10" t="s">
        <v>267</v>
      </c>
      <c r="D88" s="10" t="s">
        <v>268</v>
      </c>
      <c r="E88" s="10" t="s">
        <v>269</v>
      </c>
      <c r="F88" s="10" t="s">
        <v>175</v>
      </c>
      <c r="G88" s="10" t="s">
        <v>270</v>
      </c>
      <c r="H88" s="10" t="s">
        <v>19</v>
      </c>
      <c r="I88" s="10"/>
      <c r="J88" s="10"/>
      <c r="K88" s="10"/>
      <c r="L88" s="10"/>
    </row>
    <row r="89" spans="1:12" ht="86.25" thickBot="1" x14ac:dyDescent="0.3">
      <c r="A89" s="10" t="s">
        <v>195</v>
      </c>
      <c r="B89" s="10" t="s">
        <v>271</v>
      </c>
      <c r="C89" s="10" t="s">
        <v>272</v>
      </c>
      <c r="D89" s="10" t="s">
        <v>273</v>
      </c>
      <c r="E89" s="10" t="s">
        <v>274</v>
      </c>
      <c r="F89" s="10" t="s">
        <v>175</v>
      </c>
      <c r="G89" s="10" t="s">
        <v>275</v>
      </c>
      <c r="H89" s="10" t="s">
        <v>46</v>
      </c>
      <c r="I89" s="10"/>
      <c r="J89" s="10"/>
      <c r="K89" s="10"/>
      <c r="L89" s="10"/>
    </row>
    <row r="90" spans="1:12" ht="72" thickBot="1" x14ac:dyDescent="0.3">
      <c r="A90" s="10" t="s">
        <v>195</v>
      </c>
      <c r="B90" s="10" t="s">
        <v>271</v>
      </c>
      <c r="C90" s="10" t="s">
        <v>276</v>
      </c>
      <c r="D90" s="10" t="s">
        <v>277</v>
      </c>
      <c r="E90" s="10" t="s">
        <v>278</v>
      </c>
      <c r="F90" s="10" t="s">
        <v>131</v>
      </c>
      <c r="G90" s="10" t="s">
        <v>18</v>
      </c>
      <c r="H90" s="10" t="s">
        <v>46</v>
      </c>
      <c r="I90" s="10"/>
      <c r="J90" s="10"/>
      <c r="K90" s="10"/>
      <c r="L90" s="10"/>
    </row>
    <row r="91" spans="1:12" ht="57.75" thickBot="1" x14ac:dyDescent="0.3">
      <c r="A91" s="10" t="s">
        <v>279</v>
      </c>
      <c r="B91" s="10" t="s">
        <v>280</v>
      </c>
      <c r="C91" s="10" t="s">
        <v>281</v>
      </c>
      <c r="D91" s="10" t="s">
        <v>282</v>
      </c>
      <c r="E91" s="10" t="s">
        <v>25</v>
      </c>
      <c r="F91" s="10" t="s">
        <v>17</v>
      </c>
      <c r="G91" s="10" t="s">
        <v>18</v>
      </c>
      <c r="H91" s="10" t="s">
        <v>19</v>
      </c>
      <c r="I91" s="10"/>
      <c r="J91" s="10"/>
      <c r="K91" s="10"/>
      <c r="L91" s="10"/>
    </row>
    <row r="92" spans="1:12" ht="72" thickBot="1" x14ac:dyDescent="0.3">
      <c r="A92" s="10" t="s">
        <v>279</v>
      </c>
      <c r="B92" s="10" t="s">
        <v>280</v>
      </c>
      <c r="C92" s="10" t="s">
        <v>283</v>
      </c>
      <c r="D92" s="10" t="s">
        <v>284</v>
      </c>
      <c r="E92" s="10" t="s">
        <v>25</v>
      </c>
      <c r="F92" s="10" t="s">
        <v>17</v>
      </c>
      <c r="G92" s="10" t="s">
        <v>18</v>
      </c>
      <c r="H92" s="10" t="s">
        <v>19</v>
      </c>
      <c r="I92" s="10"/>
      <c r="J92" s="10"/>
      <c r="K92" s="10"/>
      <c r="L92" s="10"/>
    </row>
    <row r="93" spans="1:12" ht="72" thickBot="1" x14ac:dyDescent="0.3">
      <c r="A93" s="10" t="s">
        <v>279</v>
      </c>
      <c r="B93" s="10" t="s">
        <v>280</v>
      </c>
      <c r="C93" s="10" t="s">
        <v>285</v>
      </c>
      <c r="D93" s="10" t="s">
        <v>286</v>
      </c>
      <c r="E93" s="10" t="s">
        <v>25</v>
      </c>
      <c r="F93" s="10" t="s">
        <v>17</v>
      </c>
      <c r="G93" s="10"/>
      <c r="H93" s="10"/>
      <c r="I93" s="10"/>
      <c r="J93" s="10"/>
      <c r="K93" s="10"/>
      <c r="L93" s="10"/>
    </row>
    <row r="94" spans="1:12" ht="72" thickBot="1" x14ac:dyDescent="0.3">
      <c r="A94" s="10" t="s">
        <v>279</v>
      </c>
      <c r="B94" s="10" t="s">
        <v>280</v>
      </c>
      <c r="C94" s="10" t="s">
        <v>287</v>
      </c>
      <c r="D94" s="10" t="s">
        <v>288</v>
      </c>
      <c r="E94" s="10" t="s">
        <v>25</v>
      </c>
      <c r="F94" s="10" t="s">
        <v>72</v>
      </c>
      <c r="G94" s="10" t="s">
        <v>289</v>
      </c>
      <c r="H94" s="10" t="s">
        <v>46</v>
      </c>
      <c r="I94" s="10"/>
      <c r="J94" s="10"/>
      <c r="K94" s="10"/>
      <c r="L94" s="10"/>
    </row>
    <row r="95" spans="1:12" ht="72" thickBot="1" x14ac:dyDescent="0.3">
      <c r="A95" s="10" t="s">
        <v>279</v>
      </c>
      <c r="B95" s="10" t="s">
        <v>290</v>
      </c>
      <c r="C95" s="10" t="s">
        <v>291</v>
      </c>
      <c r="D95" s="10" t="s">
        <v>292</v>
      </c>
      <c r="E95" s="10" t="s">
        <v>16</v>
      </c>
      <c r="F95" s="10" t="s">
        <v>17</v>
      </c>
      <c r="G95" s="10" t="s">
        <v>18</v>
      </c>
      <c r="H95" s="10" t="s">
        <v>22</v>
      </c>
      <c r="I95" s="10"/>
      <c r="J95" s="10"/>
      <c r="K95" s="10"/>
      <c r="L95" s="10"/>
    </row>
    <row r="96" spans="1:12" ht="57.75" thickBot="1" x14ac:dyDescent="0.3">
      <c r="A96" s="10" t="s">
        <v>279</v>
      </c>
      <c r="B96" s="10" t="s">
        <v>290</v>
      </c>
      <c r="C96" s="10" t="s">
        <v>293</v>
      </c>
      <c r="D96" s="10" t="s">
        <v>294</v>
      </c>
      <c r="E96" s="10" t="s">
        <v>16</v>
      </c>
      <c r="F96" s="10" t="s">
        <v>17</v>
      </c>
      <c r="G96" s="10" t="s">
        <v>18</v>
      </c>
      <c r="H96" s="10" t="s">
        <v>22</v>
      </c>
      <c r="I96" s="10"/>
      <c r="J96" s="10"/>
      <c r="K96" s="10"/>
      <c r="L96" s="10"/>
    </row>
    <row r="97" spans="1:12" ht="72" thickBot="1" x14ac:dyDescent="0.3">
      <c r="A97" s="10" t="s">
        <v>279</v>
      </c>
      <c r="B97" s="10" t="s">
        <v>290</v>
      </c>
      <c r="C97" s="10" t="s">
        <v>295</v>
      </c>
      <c r="D97" s="10" t="s">
        <v>296</v>
      </c>
      <c r="E97" s="10" t="s">
        <v>25</v>
      </c>
      <c r="F97" s="10" t="s">
        <v>72</v>
      </c>
      <c r="G97" s="10" t="s">
        <v>297</v>
      </c>
      <c r="H97" s="10" t="s">
        <v>19</v>
      </c>
      <c r="I97" s="10"/>
      <c r="J97" s="10"/>
      <c r="K97" s="10"/>
      <c r="L97" s="10"/>
    </row>
    <row r="98" spans="1:12" ht="72" thickBot="1" x14ac:dyDescent="0.3">
      <c r="A98" s="10" t="s">
        <v>298</v>
      </c>
      <c r="B98" s="10" t="s">
        <v>299</v>
      </c>
      <c r="C98" s="10" t="s">
        <v>300</v>
      </c>
      <c r="D98" s="10" t="s">
        <v>301</v>
      </c>
      <c r="E98" s="10" t="s">
        <v>16</v>
      </c>
      <c r="F98" s="10" t="s">
        <v>302</v>
      </c>
      <c r="G98" s="10" t="s">
        <v>303</v>
      </c>
      <c r="H98" s="10" t="s">
        <v>19</v>
      </c>
      <c r="I98" s="10"/>
      <c r="J98" s="10"/>
      <c r="K98" s="10"/>
      <c r="L98" s="10"/>
    </row>
    <row r="99" spans="1:12" ht="57.75" thickBot="1" x14ac:dyDescent="0.3">
      <c r="A99" s="10" t="s">
        <v>298</v>
      </c>
      <c r="B99" s="10" t="s">
        <v>304</v>
      </c>
      <c r="C99" s="10" t="s">
        <v>305</v>
      </c>
      <c r="D99" s="10" t="s">
        <v>306</v>
      </c>
      <c r="E99" s="10" t="s">
        <v>16</v>
      </c>
      <c r="F99" s="10" t="s">
        <v>17</v>
      </c>
      <c r="G99" s="10"/>
      <c r="H99" s="10" t="s">
        <v>19</v>
      </c>
      <c r="I99" s="10"/>
      <c r="J99" s="10"/>
      <c r="K99" s="10"/>
      <c r="L99" s="10"/>
    </row>
    <row r="100" spans="1:12" ht="57.75" thickBot="1" x14ac:dyDescent="0.3">
      <c r="A100" s="10" t="s">
        <v>298</v>
      </c>
      <c r="B100" s="10" t="s">
        <v>307</v>
      </c>
      <c r="C100" s="10" t="s">
        <v>308</v>
      </c>
      <c r="D100" s="10" t="s">
        <v>309</v>
      </c>
      <c r="E100" s="10" t="s">
        <v>310</v>
      </c>
      <c r="F100" s="10" t="s">
        <v>184</v>
      </c>
      <c r="G100" s="10" t="s">
        <v>311</v>
      </c>
      <c r="H100" s="10" t="s">
        <v>19</v>
      </c>
      <c r="I100" s="10"/>
      <c r="J100" s="10"/>
      <c r="K100" s="10"/>
      <c r="L100" s="10"/>
    </row>
    <row r="101" spans="1:12" ht="72" thickBot="1" x14ac:dyDescent="0.3">
      <c r="A101" s="10" t="s">
        <v>298</v>
      </c>
      <c r="B101" s="10" t="s">
        <v>312</v>
      </c>
      <c r="C101" s="10" t="s">
        <v>313</v>
      </c>
      <c r="D101" s="10" t="s">
        <v>314</v>
      </c>
      <c r="E101" s="10" t="s">
        <v>16</v>
      </c>
      <c r="F101" s="10" t="s">
        <v>302</v>
      </c>
      <c r="G101" s="10" t="s">
        <v>315</v>
      </c>
      <c r="H101" s="10" t="s">
        <v>19</v>
      </c>
      <c r="I101" s="10"/>
      <c r="J101" s="10"/>
      <c r="K101" s="10"/>
      <c r="L101" s="10"/>
    </row>
    <row r="102" spans="1:12" ht="157.5" thickBot="1" x14ac:dyDescent="0.3">
      <c r="A102" s="10" t="s">
        <v>298</v>
      </c>
      <c r="B102" s="10" t="s">
        <v>316</v>
      </c>
      <c r="C102" s="10" t="s">
        <v>317</v>
      </c>
      <c r="D102" s="12" t="s">
        <v>318</v>
      </c>
      <c r="E102" s="10" t="s">
        <v>319</v>
      </c>
      <c r="F102" s="10" t="s">
        <v>72</v>
      </c>
      <c r="G102" s="10" t="s">
        <v>320</v>
      </c>
      <c r="H102" s="10" t="s">
        <v>19</v>
      </c>
      <c r="I102" s="10"/>
      <c r="J102" s="10"/>
      <c r="K102" s="10"/>
      <c r="L102" s="10"/>
    </row>
    <row r="103" spans="1:12" ht="72" thickBot="1" x14ac:dyDescent="0.3">
      <c r="A103" s="10" t="s">
        <v>298</v>
      </c>
      <c r="B103" s="10" t="s">
        <v>321</v>
      </c>
      <c r="C103" s="10" t="s">
        <v>322</v>
      </c>
      <c r="D103" s="10" t="s">
        <v>323</v>
      </c>
      <c r="E103" s="10" t="s">
        <v>194</v>
      </c>
      <c r="F103" s="10" t="s">
        <v>131</v>
      </c>
      <c r="G103" s="10" t="s">
        <v>18</v>
      </c>
      <c r="H103" s="10" t="s">
        <v>46</v>
      </c>
      <c r="I103" s="10"/>
      <c r="J103" s="10"/>
      <c r="K103" s="10"/>
      <c r="L103" s="10"/>
    </row>
    <row r="104" spans="1:12" ht="100.5" thickBot="1" x14ac:dyDescent="0.3">
      <c r="A104" s="10" t="s">
        <v>298</v>
      </c>
      <c r="B104" s="10" t="s">
        <v>307</v>
      </c>
      <c r="C104" s="10" t="s">
        <v>324</v>
      </c>
      <c r="D104" s="12" t="s">
        <v>325</v>
      </c>
      <c r="E104" s="10" t="s">
        <v>326</v>
      </c>
      <c r="F104" s="10" t="s">
        <v>131</v>
      </c>
      <c r="G104" s="10" t="s">
        <v>18</v>
      </c>
      <c r="H104" s="10" t="s">
        <v>46</v>
      </c>
      <c r="I104" s="10"/>
      <c r="J104" s="10"/>
      <c r="K104" s="10"/>
      <c r="L104" s="10"/>
    </row>
    <row r="105" spans="1:12" ht="90" thickBot="1" x14ac:dyDescent="0.3">
      <c r="A105" s="10" t="s">
        <v>298</v>
      </c>
      <c r="B105" s="10" t="s">
        <v>327</v>
      </c>
      <c r="C105" s="10" t="s">
        <v>328</v>
      </c>
      <c r="D105" s="10" t="s">
        <v>329</v>
      </c>
      <c r="E105" s="10" t="s">
        <v>330</v>
      </c>
      <c r="F105" s="10" t="s">
        <v>131</v>
      </c>
      <c r="G105" s="10" t="s">
        <v>18</v>
      </c>
      <c r="H105" s="10" t="s">
        <v>19</v>
      </c>
      <c r="I105" s="10"/>
      <c r="J105" s="10"/>
      <c r="K105" s="10"/>
      <c r="L105" s="10"/>
    </row>
    <row r="106" spans="1:12" ht="75.75" thickBot="1" x14ac:dyDescent="0.3">
      <c r="A106" s="10" t="s">
        <v>298</v>
      </c>
      <c r="B106" s="10" t="s">
        <v>327</v>
      </c>
      <c r="C106" s="10" t="s">
        <v>331</v>
      </c>
      <c r="D106" s="10" t="s">
        <v>332</v>
      </c>
      <c r="E106" s="10" t="s">
        <v>278</v>
      </c>
      <c r="F106" s="10" t="s">
        <v>131</v>
      </c>
      <c r="G106" s="10" t="s">
        <v>18</v>
      </c>
      <c r="H106" s="10" t="s">
        <v>19</v>
      </c>
      <c r="I106" s="10"/>
      <c r="J106" s="10"/>
      <c r="K106" s="10"/>
      <c r="L106" s="10"/>
    </row>
    <row r="107" spans="1:12" ht="86.25" thickBot="1" x14ac:dyDescent="0.3">
      <c r="A107" s="10" t="s">
        <v>298</v>
      </c>
      <c r="B107" s="10" t="s">
        <v>307</v>
      </c>
      <c r="C107" s="10" t="s">
        <v>333</v>
      </c>
      <c r="D107" s="12" t="s">
        <v>334</v>
      </c>
      <c r="E107" s="10" t="s">
        <v>335</v>
      </c>
      <c r="F107" s="10" t="s">
        <v>131</v>
      </c>
      <c r="G107" s="10" t="s">
        <v>18</v>
      </c>
      <c r="H107" s="10" t="s">
        <v>46</v>
      </c>
      <c r="I107" s="10"/>
      <c r="J107" s="10"/>
      <c r="K107" s="10"/>
      <c r="L107" s="10"/>
    </row>
    <row r="108" spans="1:12" ht="15.75" thickBot="1" x14ac:dyDescent="0.3">
      <c r="K108" s="10"/>
      <c r="L108" s="10"/>
    </row>
    <row r="109" spans="1:12" ht="15.75" thickBot="1" x14ac:dyDescent="0.3">
      <c r="K109" s="10"/>
      <c r="L109" s="10"/>
    </row>
    <row r="110" spans="1:12" ht="15.75" thickBot="1" x14ac:dyDescent="0.3">
      <c r="K110" s="10"/>
      <c r="L110" s="10"/>
    </row>
    <row r="111" spans="1:12" ht="15.75" thickBot="1" x14ac:dyDescent="0.3">
      <c r="K111" s="10"/>
      <c r="L111" s="10"/>
    </row>
    <row r="112" spans="1:12" ht="15.75" thickBot="1" x14ac:dyDescent="0.3">
      <c r="K112" s="10"/>
      <c r="L112" s="10"/>
    </row>
    <row r="113" spans="11:12" ht="15.75" thickBot="1" x14ac:dyDescent="0.3">
      <c r="K113" s="10"/>
      <c r="L113" s="10"/>
    </row>
    <row r="114" spans="11:12" ht="15.75" thickBot="1" x14ac:dyDescent="0.3">
      <c r="K114" s="10"/>
      <c r="L114" s="10"/>
    </row>
    <row r="115" spans="11:12" ht="15.75" thickBot="1" x14ac:dyDescent="0.3">
      <c r="K115" s="10"/>
      <c r="L115" s="10"/>
    </row>
    <row r="116" spans="11:12" ht="15.75" thickBot="1" x14ac:dyDescent="0.3">
      <c r="K116" s="10"/>
      <c r="L116" s="10"/>
    </row>
    <row r="117" spans="11:12" ht="15.75" thickBot="1" x14ac:dyDescent="0.3">
      <c r="K117" s="10"/>
      <c r="L117" s="10"/>
    </row>
    <row r="118" spans="11:12" ht="15.75" thickBot="1" x14ac:dyDescent="0.3">
      <c r="K118" s="10"/>
      <c r="L118" s="10"/>
    </row>
    <row r="119" spans="11:12" ht="15.75" thickBot="1" x14ac:dyDescent="0.3">
      <c r="K119" s="10"/>
      <c r="L119" s="10"/>
    </row>
    <row r="120" spans="11:12" ht="15.75" thickBot="1" x14ac:dyDescent="0.3">
      <c r="K120" s="10"/>
      <c r="L120" s="10"/>
    </row>
    <row r="121" spans="11:12" ht="15.75" thickBot="1" x14ac:dyDescent="0.3">
      <c r="K121" s="10"/>
      <c r="L121" s="10"/>
    </row>
    <row r="122" spans="11:12" ht="15.75" thickBot="1" x14ac:dyDescent="0.3">
      <c r="K122" s="10"/>
      <c r="L122" s="10"/>
    </row>
    <row r="123" spans="11:12" ht="15.75" thickBot="1" x14ac:dyDescent="0.3">
      <c r="K123" s="10"/>
      <c r="L123" s="10"/>
    </row>
    <row r="124" spans="11:12" ht="15.75" thickBot="1" x14ac:dyDescent="0.3">
      <c r="K124" s="10"/>
      <c r="L124" s="10"/>
    </row>
    <row r="125" spans="11:12" ht="15.75" thickBot="1" x14ac:dyDescent="0.3">
      <c r="K125" s="10"/>
      <c r="L125" s="10"/>
    </row>
    <row r="126" spans="11:12" ht="15.75" thickBot="1" x14ac:dyDescent="0.3">
      <c r="K126" s="10"/>
      <c r="L126" s="10"/>
    </row>
    <row r="127" spans="11:12" ht="15.75" thickBot="1" x14ac:dyDescent="0.3">
      <c r="K127" s="10"/>
      <c r="L127" s="10"/>
    </row>
    <row r="128" spans="11:12" ht="15.75" thickBot="1" x14ac:dyDescent="0.3">
      <c r="K128" s="10"/>
      <c r="L128" s="10"/>
    </row>
    <row r="129" spans="11:12" ht="15.75" thickBot="1" x14ac:dyDescent="0.3">
      <c r="K129" s="10"/>
      <c r="L129" s="10"/>
    </row>
    <row r="130" spans="11:12" ht="15.75" thickBot="1" x14ac:dyDescent="0.3">
      <c r="K130" s="10"/>
      <c r="L130" s="10"/>
    </row>
    <row r="131" spans="11:12" ht="15.75" thickBot="1" x14ac:dyDescent="0.3">
      <c r="K131" s="10"/>
      <c r="L131" s="10"/>
    </row>
    <row r="132" spans="11:12" ht="15.75" thickBot="1" x14ac:dyDescent="0.3">
      <c r="K132" s="10"/>
      <c r="L132" s="10"/>
    </row>
    <row r="133" spans="11:12" ht="15.75" thickBot="1" x14ac:dyDescent="0.3">
      <c r="K133" s="10"/>
      <c r="L133" s="10"/>
    </row>
    <row r="134" spans="11:12" ht="15.75" thickBot="1" x14ac:dyDescent="0.3">
      <c r="K134" s="10"/>
      <c r="L134" s="10"/>
    </row>
    <row r="135" spans="11:12" ht="15.75" thickBot="1" x14ac:dyDescent="0.3">
      <c r="K135" s="10"/>
      <c r="L135" s="10"/>
    </row>
    <row r="136" spans="11:12" ht="15.75" thickBot="1" x14ac:dyDescent="0.3">
      <c r="K136" s="10"/>
      <c r="L136" s="10"/>
    </row>
    <row r="137" spans="11:12" ht="15.75" thickBot="1" x14ac:dyDescent="0.3">
      <c r="K137" s="10"/>
      <c r="L137" s="10"/>
    </row>
    <row r="138" spans="11:12" ht="15.75" thickBot="1" x14ac:dyDescent="0.3">
      <c r="K138" s="10"/>
      <c r="L138" s="10"/>
    </row>
    <row r="139" spans="11:12" ht="15.75" thickBot="1" x14ac:dyDescent="0.3">
      <c r="K139" s="10"/>
      <c r="L139" s="10"/>
    </row>
    <row r="140" spans="11:12" ht="15.75" thickBot="1" x14ac:dyDescent="0.3">
      <c r="K140" s="10"/>
      <c r="L140" s="10"/>
    </row>
  </sheetData>
  <autoFilter ref="A1:H107" xr:uid="{F8892926-E8FC-4E51-8265-E6D97D7EE353}"/>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DD540-3880-42BF-AF4C-FDC3EA001D91}">
  <dimension ref="A1:Q26"/>
  <sheetViews>
    <sheetView workbookViewId="0">
      <selection activeCell="F8" sqref="F8:F10"/>
    </sheetView>
  </sheetViews>
  <sheetFormatPr defaultRowHeight="15" x14ac:dyDescent="0.25"/>
  <cols>
    <col min="1" max="1" width="41.140625" bestFit="1" customWidth="1"/>
    <col min="2" max="2" width="25" bestFit="1" customWidth="1"/>
    <col min="3" max="3" width="8.28515625" bestFit="1" customWidth="1"/>
    <col min="4" max="4" width="11.28515625" bestFit="1" customWidth="1"/>
    <col min="5" max="5" width="20.5703125" customWidth="1"/>
    <col min="6" max="6" width="9.5703125" bestFit="1" customWidth="1"/>
    <col min="8" max="8" width="12.7109375" customWidth="1"/>
    <col min="9" max="9" width="14.5703125" customWidth="1"/>
    <col min="15" max="15" width="11.7109375" customWidth="1"/>
    <col min="16" max="16" width="12.42578125" customWidth="1"/>
    <col min="17" max="17" width="11" bestFit="1" customWidth="1"/>
  </cols>
  <sheetData>
    <row r="1" spans="1:17" ht="15.75" thickBot="1" x14ac:dyDescent="0.3">
      <c r="P1" s="9" t="s">
        <v>336</v>
      </c>
      <c r="Q1" s="9" t="s">
        <v>337</v>
      </c>
    </row>
    <row r="2" spans="1:17" ht="15.75" thickBot="1" x14ac:dyDescent="0.3">
      <c r="O2" s="13" t="s">
        <v>338</v>
      </c>
      <c r="P2" s="15" t="s">
        <v>339</v>
      </c>
      <c r="Q2" s="15">
        <v>0</v>
      </c>
    </row>
    <row r="3" spans="1:17" ht="17.25" thickTop="1" thickBot="1" x14ac:dyDescent="0.3">
      <c r="O3" s="14" t="s">
        <v>340</v>
      </c>
      <c r="P3" s="16" t="s">
        <v>341</v>
      </c>
      <c r="Q3" s="16" t="s">
        <v>341</v>
      </c>
    </row>
    <row r="4" spans="1:17" ht="16.5" thickBot="1" x14ac:dyDescent="0.3">
      <c r="O4" s="14" t="s">
        <v>342</v>
      </c>
      <c r="P4" s="16" t="s">
        <v>343</v>
      </c>
      <c r="Q4" s="16" t="s">
        <v>344</v>
      </c>
    </row>
    <row r="5" spans="1:17" ht="16.5" thickBot="1" x14ac:dyDescent="0.3">
      <c r="O5" s="14" t="s">
        <v>345</v>
      </c>
      <c r="P5" s="16" t="s">
        <v>346</v>
      </c>
      <c r="Q5" s="16" t="s">
        <v>347</v>
      </c>
    </row>
    <row r="6" spans="1:17" x14ac:dyDescent="0.25">
      <c r="A6" s="7" t="s">
        <v>348</v>
      </c>
      <c r="E6" t="s">
        <v>349</v>
      </c>
      <c r="I6" t="s">
        <v>349</v>
      </c>
    </row>
    <row r="7" spans="1:17" x14ac:dyDescent="0.25">
      <c r="B7" s="9" t="s">
        <v>336</v>
      </c>
      <c r="C7" s="9" t="s">
        <v>337</v>
      </c>
      <c r="F7" s="9" t="s">
        <v>336</v>
      </c>
      <c r="G7" s="9" t="s">
        <v>337</v>
      </c>
      <c r="J7" s="9" t="s">
        <v>336</v>
      </c>
      <c r="K7" s="9" t="s">
        <v>337</v>
      </c>
    </row>
    <row r="8" spans="1:17" x14ac:dyDescent="0.25">
      <c r="A8" s="5" t="s">
        <v>17</v>
      </c>
      <c r="B8" s="8">
        <v>71</v>
      </c>
      <c r="C8" s="8"/>
      <c r="E8" s="5" t="s">
        <v>17</v>
      </c>
      <c r="F8" s="8">
        <v>72</v>
      </c>
      <c r="G8" s="8"/>
      <c r="I8" s="5" t="s">
        <v>17</v>
      </c>
      <c r="J8" s="8">
        <f>SUM(B19:B22)</f>
        <v>69</v>
      </c>
      <c r="K8" s="8"/>
    </row>
    <row r="9" spans="1:17" x14ac:dyDescent="0.25">
      <c r="A9" s="5" t="s">
        <v>38</v>
      </c>
      <c r="B9" s="8">
        <v>25</v>
      </c>
      <c r="C9" s="8">
        <v>24</v>
      </c>
      <c r="E9" s="5" t="s">
        <v>38</v>
      </c>
      <c r="F9" s="8">
        <v>23</v>
      </c>
      <c r="G9" s="8">
        <v>22</v>
      </c>
      <c r="I9" s="5" t="s">
        <v>38</v>
      </c>
      <c r="J9" s="8">
        <f>SUM(B23:B24)</f>
        <v>17</v>
      </c>
      <c r="K9" s="8">
        <f>SUM(B20:B21)</f>
        <v>16</v>
      </c>
    </row>
    <row r="10" spans="1:17" x14ac:dyDescent="0.25">
      <c r="A10" s="5" t="s">
        <v>131</v>
      </c>
      <c r="B10" s="8">
        <v>29</v>
      </c>
      <c r="C10" s="8">
        <v>11</v>
      </c>
      <c r="E10" s="5" t="s">
        <v>131</v>
      </c>
      <c r="F10" s="8">
        <v>21</v>
      </c>
      <c r="G10" s="8">
        <v>12</v>
      </c>
      <c r="I10" s="5" t="s">
        <v>131</v>
      </c>
      <c r="J10" s="8">
        <f>GETPIVOTDATA("L3 Process Name",$A$18,"IT Release","IT Release 3")</f>
        <v>20</v>
      </c>
      <c r="K10" s="8">
        <f>GETPIVOTDATA("L3 Process Name",$A$18,"IT Release","IT Release 1 (retouched in IT Release 2 and 3)")+GETPIVOTDATA("L3 Process Name",$A$18,"IT Release","IT Release 1 (retouched in IT Release 3)")+GETPIVOTDATA("L3 Process Name",$A$18,"IT Release","IT Release 2 (retouched in IT Release 3)")</f>
        <v>10</v>
      </c>
    </row>
    <row r="11" spans="1:17" x14ac:dyDescent="0.25">
      <c r="J11" s="8">
        <f>SUM(J8:J10)</f>
        <v>106</v>
      </c>
      <c r="K11" s="8">
        <f>SUM(K8:K10)</f>
        <v>26</v>
      </c>
    </row>
    <row r="18" spans="1:2" x14ac:dyDescent="0.25">
      <c r="A18" s="6" t="s">
        <v>350</v>
      </c>
      <c r="B18" t="s">
        <v>351</v>
      </c>
    </row>
    <row r="19" spans="1:2" x14ac:dyDescent="0.25">
      <c r="A19" s="7" t="s">
        <v>17</v>
      </c>
      <c r="B19">
        <v>51</v>
      </c>
    </row>
    <row r="20" spans="1:2" x14ac:dyDescent="0.25">
      <c r="A20" s="7" t="s">
        <v>302</v>
      </c>
      <c r="B20">
        <v>2</v>
      </c>
    </row>
    <row r="21" spans="1:2" x14ac:dyDescent="0.25">
      <c r="A21" s="7" t="s">
        <v>72</v>
      </c>
      <c r="B21">
        <v>14</v>
      </c>
    </row>
    <row r="22" spans="1:2" x14ac:dyDescent="0.25">
      <c r="A22" s="7" t="s">
        <v>184</v>
      </c>
      <c r="B22">
        <v>2</v>
      </c>
    </row>
    <row r="23" spans="1:2" x14ac:dyDescent="0.25">
      <c r="A23" s="7" t="s">
        <v>38</v>
      </c>
      <c r="B23">
        <v>11</v>
      </c>
    </row>
    <row r="24" spans="1:2" x14ac:dyDescent="0.25">
      <c r="A24" s="7" t="s">
        <v>175</v>
      </c>
      <c r="B24">
        <v>6</v>
      </c>
    </row>
    <row r="25" spans="1:2" x14ac:dyDescent="0.25">
      <c r="A25" s="7" t="s">
        <v>131</v>
      </c>
      <c r="B25">
        <v>20</v>
      </c>
    </row>
    <row r="26" spans="1:2" x14ac:dyDescent="0.25">
      <c r="A26" s="7" t="s">
        <v>352</v>
      </c>
      <c r="B26">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84B1-2827-431B-9BB6-3A4D7786E114}">
  <dimension ref="A1:J45"/>
  <sheetViews>
    <sheetView workbookViewId="0">
      <selection activeCell="I3" sqref="I3"/>
    </sheetView>
  </sheetViews>
  <sheetFormatPr defaultRowHeight="15" x14ac:dyDescent="0.25"/>
  <cols>
    <col min="1" max="8" width="27.85546875" customWidth="1"/>
    <col min="9" max="9" width="30.7109375" customWidth="1"/>
  </cols>
  <sheetData>
    <row r="1" spans="1:9" x14ac:dyDescent="0.25">
      <c r="A1" s="1" t="s">
        <v>0</v>
      </c>
      <c r="B1" s="1" t="s">
        <v>1</v>
      </c>
      <c r="C1" s="1" t="s">
        <v>2</v>
      </c>
      <c r="D1" s="1" t="s">
        <v>3</v>
      </c>
      <c r="E1" s="1" t="s">
        <v>4</v>
      </c>
      <c r="F1" s="1" t="s">
        <v>5</v>
      </c>
      <c r="G1" s="1" t="s">
        <v>353</v>
      </c>
      <c r="H1" s="1" t="s">
        <v>354</v>
      </c>
      <c r="I1" s="1" t="s">
        <v>355</v>
      </c>
    </row>
    <row r="2" spans="1:9" ht="60" x14ac:dyDescent="0.25">
      <c r="A2" s="2" t="s">
        <v>12</v>
      </c>
      <c r="B2" s="2" t="s">
        <v>26</v>
      </c>
      <c r="C2" s="3" t="s">
        <v>356</v>
      </c>
      <c r="D2" s="2" t="s">
        <v>357</v>
      </c>
      <c r="E2" s="2" t="s">
        <v>25</v>
      </c>
      <c r="F2" s="2" t="s">
        <v>17</v>
      </c>
      <c r="G2" s="2" t="s">
        <v>18</v>
      </c>
      <c r="H2" s="2" t="s">
        <v>19</v>
      </c>
      <c r="I2" s="2" t="s">
        <v>358</v>
      </c>
    </row>
    <row r="3" spans="1:9" ht="75" x14ac:dyDescent="0.25">
      <c r="A3" s="2" t="s">
        <v>120</v>
      </c>
      <c r="B3" s="2" t="s">
        <v>180</v>
      </c>
      <c r="C3" s="3" t="s">
        <v>359</v>
      </c>
      <c r="D3" s="2" t="s">
        <v>360</v>
      </c>
      <c r="E3" s="2" t="s">
        <v>183</v>
      </c>
      <c r="F3" s="2" t="s">
        <v>38</v>
      </c>
      <c r="G3" s="2" t="s">
        <v>361</v>
      </c>
      <c r="H3" s="4" t="s">
        <v>362</v>
      </c>
      <c r="I3" s="4"/>
    </row>
    <row r="4" spans="1:9" ht="60" x14ac:dyDescent="0.25">
      <c r="A4" s="2" t="s">
        <v>120</v>
      </c>
      <c r="B4" s="2" t="s">
        <v>172</v>
      </c>
      <c r="C4" s="3" t="s">
        <v>363</v>
      </c>
      <c r="D4" s="2" t="s">
        <v>364</v>
      </c>
      <c r="E4" s="2" t="s">
        <v>52</v>
      </c>
      <c r="F4" s="2" t="s">
        <v>131</v>
      </c>
      <c r="G4" s="2" t="s">
        <v>365</v>
      </c>
      <c r="H4" s="4" t="s">
        <v>362</v>
      </c>
      <c r="I4" s="4"/>
    </row>
    <row r="5" spans="1:9" ht="120" x14ac:dyDescent="0.25">
      <c r="A5" s="2" t="s">
        <v>366</v>
      </c>
      <c r="B5" s="2" t="s">
        <v>367</v>
      </c>
      <c r="C5" s="3" t="s">
        <v>368</v>
      </c>
      <c r="D5" s="2" t="s">
        <v>369</v>
      </c>
      <c r="E5" s="2" t="s">
        <v>370</v>
      </c>
      <c r="F5" s="2" t="s">
        <v>17</v>
      </c>
      <c r="G5" s="2" t="s">
        <v>371</v>
      </c>
      <c r="H5" s="4" t="s">
        <v>362</v>
      </c>
      <c r="I5" s="4"/>
    </row>
    <row r="6" spans="1:9" ht="195" x14ac:dyDescent="0.25">
      <c r="A6" s="2" t="s">
        <v>366</v>
      </c>
      <c r="B6" s="2" t="s">
        <v>367</v>
      </c>
      <c r="C6" s="3" t="s">
        <v>372</v>
      </c>
      <c r="D6" s="2" t="s">
        <v>373</v>
      </c>
      <c r="E6" s="2" t="s">
        <v>370</v>
      </c>
      <c r="F6" s="2" t="s">
        <v>17</v>
      </c>
      <c r="G6" s="2" t="s">
        <v>371</v>
      </c>
      <c r="H6" s="4" t="s">
        <v>362</v>
      </c>
      <c r="I6" s="4" t="s">
        <v>374</v>
      </c>
    </row>
    <row r="7" spans="1:9" ht="105" x14ac:dyDescent="0.25">
      <c r="A7" s="2" t="s">
        <v>366</v>
      </c>
      <c r="B7" s="2" t="s">
        <v>53</v>
      </c>
      <c r="C7" s="3" t="s">
        <v>87</v>
      </c>
      <c r="D7" s="2" t="s">
        <v>375</v>
      </c>
      <c r="E7" s="2" t="s">
        <v>370</v>
      </c>
      <c r="F7" s="2" t="s">
        <v>17</v>
      </c>
      <c r="G7" s="2" t="s">
        <v>376</v>
      </c>
      <c r="H7" s="4" t="s">
        <v>362</v>
      </c>
      <c r="I7" s="4" t="s">
        <v>377</v>
      </c>
    </row>
    <row r="8" spans="1:9" ht="120" x14ac:dyDescent="0.25">
      <c r="A8" s="2" t="s">
        <v>366</v>
      </c>
      <c r="B8" s="2" t="s">
        <v>378</v>
      </c>
      <c r="C8" s="3" t="s">
        <v>379</v>
      </c>
      <c r="D8" s="2" t="s">
        <v>380</v>
      </c>
      <c r="E8" s="2" t="s">
        <v>25</v>
      </c>
      <c r="F8" s="2" t="s">
        <v>17</v>
      </c>
      <c r="G8" s="2" t="s">
        <v>371</v>
      </c>
      <c r="H8" s="4" t="s">
        <v>362</v>
      </c>
      <c r="I8" s="4"/>
    </row>
    <row r="9" spans="1:9" ht="120" x14ac:dyDescent="0.25">
      <c r="A9" s="2" t="s">
        <v>366</v>
      </c>
      <c r="B9" s="2" t="s">
        <v>49</v>
      </c>
      <c r="C9" s="3" t="s">
        <v>381</v>
      </c>
      <c r="D9" s="2" t="s">
        <v>382</v>
      </c>
      <c r="E9" s="2" t="s">
        <v>370</v>
      </c>
      <c r="F9" s="2" t="s">
        <v>17</v>
      </c>
      <c r="G9" s="4" t="s">
        <v>371</v>
      </c>
      <c r="H9" s="4" t="s">
        <v>362</v>
      </c>
      <c r="I9" s="4"/>
    </row>
    <row r="10" spans="1:9" ht="120" x14ac:dyDescent="0.25">
      <c r="A10" s="2" t="s">
        <v>366</v>
      </c>
      <c r="B10" s="2" t="s">
        <v>383</v>
      </c>
      <c r="C10" s="3" t="s">
        <v>384</v>
      </c>
      <c r="D10" s="2" t="s">
        <v>385</v>
      </c>
      <c r="E10" s="2" t="s">
        <v>370</v>
      </c>
      <c r="F10" s="2" t="s">
        <v>17</v>
      </c>
      <c r="G10" s="4" t="s">
        <v>371</v>
      </c>
      <c r="H10" s="4" t="s">
        <v>362</v>
      </c>
      <c r="I10" s="4"/>
    </row>
    <row r="11" spans="1:9" ht="120" x14ac:dyDescent="0.25">
      <c r="A11" s="2" t="s">
        <v>366</v>
      </c>
      <c r="B11" s="2" t="s">
        <v>383</v>
      </c>
      <c r="C11" s="3" t="s">
        <v>386</v>
      </c>
      <c r="D11" s="2" t="s">
        <v>387</v>
      </c>
      <c r="E11" s="2" t="s">
        <v>370</v>
      </c>
      <c r="F11" s="2" t="s">
        <v>17</v>
      </c>
      <c r="G11" s="4" t="s">
        <v>371</v>
      </c>
      <c r="H11" s="4" t="s">
        <v>362</v>
      </c>
      <c r="I11" s="4"/>
    </row>
    <row r="12" spans="1:9" ht="120" x14ac:dyDescent="0.25">
      <c r="A12" s="2" t="s">
        <v>366</v>
      </c>
      <c r="B12" s="2" t="s">
        <v>388</v>
      </c>
      <c r="C12" s="3" t="s">
        <v>389</v>
      </c>
      <c r="D12" s="2" t="s">
        <v>390</v>
      </c>
      <c r="E12" s="2" t="s">
        <v>370</v>
      </c>
      <c r="F12" s="2" t="s">
        <v>17</v>
      </c>
      <c r="G12" s="4" t="s">
        <v>371</v>
      </c>
      <c r="H12" s="4" t="s">
        <v>362</v>
      </c>
      <c r="I12" s="4"/>
    </row>
    <row r="13" spans="1:9" ht="90" x14ac:dyDescent="0.25">
      <c r="A13" s="2" t="s">
        <v>298</v>
      </c>
      <c r="B13" s="2" t="s">
        <v>391</v>
      </c>
      <c r="C13" s="3" t="s">
        <v>392</v>
      </c>
      <c r="D13" s="2" t="s">
        <v>393</v>
      </c>
      <c r="E13" s="2" t="s">
        <v>370</v>
      </c>
      <c r="F13" s="2" t="s">
        <v>38</v>
      </c>
      <c r="G13" s="2" t="s">
        <v>394</v>
      </c>
      <c r="H13" s="4" t="s">
        <v>362</v>
      </c>
      <c r="I13" s="2" t="s">
        <v>395</v>
      </c>
    </row>
    <row r="14" spans="1:9" ht="195" x14ac:dyDescent="0.25">
      <c r="A14" s="2" t="s">
        <v>366</v>
      </c>
      <c r="B14" s="2" t="s">
        <v>378</v>
      </c>
      <c r="C14" s="3" t="s">
        <v>396</v>
      </c>
      <c r="D14" s="2" t="s">
        <v>397</v>
      </c>
      <c r="E14" s="2" t="s">
        <v>370</v>
      </c>
      <c r="F14" s="2" t="s">
        <v>17</v>
      </c>
      <c r="G14" s="2" t="s">
        <v>398</v>
      </c>
      <c r="H14" s="4" t="s">
        <v>362</v>
      </c>
      <c r="I14" s="4" t="s">
        <v>399</v>
      </c>
    </row>
    <row r="15" spans="1:9" ht="75" x14ac:dyDescent="0.25">
      <c r="A15" s="2" t="s">
        <v>366</v>
      </c>
      <c r="B15" s="2" t="s">
        <v>62</v>
      </c>
      <c r="C15" s="3" t="s">
        <v>400</v>
      </c>
      <c r="D15" s="2" t="s">
        <v>401</v>
      </c>
      <c r="E15" s="2" t="s">
        <v>370</v>
      </c>
      <c r="F15" s="2" t="s">
        <v>17</v>
      </c>
      <c r="H15" s="4" t="s">
        <v>362</v>
      </c>
      <c r="I15" s="4" t="s">
        <v>399</v>
      </c>
    </row>
    <row r="16" spans="1:9" ht="105" x14ac:dyDescent="0.25">
      <c r="A16" s="2" t="s">
        <v>366</v>
      </c>
      <c r="B16" s="2" t="s">
        <v>62</v>
      </c>
      <c r="C16" s="3" t="s">
        <v>402</v>
      </c>
      <c r="D16" s="2" t="s">
        <v>403</v>
      </c>
      <c r="E16" s="2" t="s">
        <v>370</v>
      </c>
      <c r="F16" s="2" t="s">
        <v>17</v>
      </c>
      <c r="G16" s="2" t="s">
        <v>404</v>
      </c>
      <c r="H16" s="4" t="s">
        <v>362</v>
      </c>
      <c r="I16" s="4" t="s">
        <v>399</v>
      </c>
    </row>
    <row r="17" spans="1:10" ht="195" x14ac:dyDescent="0.25">
      <c r="A17" s="2" t="s">
        <v>366</v>
      </c>
      <c r="B17" s="2" t="s">
        <v>388</v>
      </c>
      <c r="C17" s="3" t="s">
        <v>405</v>
      </c>
      <c r="D17" s="2" t="s">
        <v>406</v>
      </c>
      <c r="E17" s="2" t="s">
        <v>370</v>
      </c>
      <c r="F17" s="2" t="s">
        <v>17</v>
      </c>
      <c r="G17" s="2" t="s">
        <v>398</v>
      </c>
      <c r="H17" s="4" t="s">
        <v>362</v>
      </c>
      <c r="I17" s="4" t="s">
        <v>399</v>
      </c>
    </row>
    <row r="18" spans="1:10" ht="195" x14ac:dyDescent="0.25">
      <c r="A18" s="2" t="s">
        <v>366</v>
      </c>
      <c r="B18" s="2" t="s">
        <v>388</v>
      </c>
      <c r="C18" s="3" t="s">
        <v>407</v>
      </c>
      <c r="D18" s="2" t="s">
        <v>408</v>
      </c>
      <c r="E18" s="2" t="s">
        <v>370</v>
      </c>
      <c r="F18" s="2" t="s">
        <v>17</v>
      </c>
      <c r="G18" s="2" t="s">
        <v>398</v>
      </c>
      <c r="H18" s="4" t="s">
        <v>362</v>
      </c>
      <c r="I18" s="4" t="s">
        <v>399</v>
      </c>
    </row>
    <row r="19" spans="1:10" ht="60" x14ac:dyDescent="0.25">
      <c r="A19" s="2" t="s">
        <v>120</v>
      </c>
      <c r="B19" s="2" t="s">
        <v>121</v>
      </c>
      <c r="C19" s="3" t="s">
        <v>409</v>
      </c>
      <c r="D19" s="2" t="s">
        <v>410</v>
      </c>
      <c r="E19" s="2" t="s">
        <v>370</v>
      </c>
      <c r="F19" s="2" t="s">
        <v>17</v>
      </c>
      <c r="G19" s="2" t="s">
        <v>411</v>
      </c>
    </row>
    <row r="20" spans="1:10" ht="45" x14ac:dyDescent="0.25">
      <c r="A20" s="2" t="s">
        <v>366</v>
      </c>
      <c r="B20" s="2" t="s">
        <v>383</v>
      </c>
      <c r="C20" s="3" t="s">
        <v>412</v>
      </c>
      <c r="D20" s="2" t="s">
        <v>413</v>
      </c>
      <c r="E20" s="2" t="s">
        <v>370</v>
      </c>
      <c r="F20" s="2" t="s">
        <v>38</v>
      </c>
      <c r="G20" s="2" t="s">
        <v>414</v>
      </c>
    </row>
    <row r="21" spans="1:10" ht="409.5" x14ac:dyDescent="0.25">
      <c r="A21" s="2" t="s">
        <v>120</v>
      </c>
      <c r="B21" s="2" t="s">
        <v>180</v>
      </c>
      <c r="C21" s="3" t="s">
        <v>415</v>
      </c>
      <c r="D21" s="2" t="s">
        <v>416</v>
      </c>
      <c r="E21" s="2" t="s">
        <v>183</v>
      </c>
      <c r="F21" s="2" t="s">
        <v>38</v>
      </c>
      <c r="G21" s="2" t="s">
        <v>22</v>
      </c>
      <c r="H21" s="2" t="s">
        <v>361</v>
      </c>
      <c r="I21" s="4" t="s">
        <v>417</v>
      </c>
      <c r="J21" s="4" t="s">
        <v>418</v>
      </c>
    </row>
    <row r="22" spans="1:10" ht="75" x14ac:dyDescent="0.25">
      <c r="A22" s="2" t="s">
        <v>120</v>
      </c>
      <c r="B22" s="2" t="s">
        <v>172</v>
      </c>
      <c r="C22" s="3" t="s">
        <v>419</v>
      </c>
      <c r="D22" s="2" t="s">
        <v>420</v>
      </c>
      <c r="E22" s="2" t="s">
        <v>421</v>
      </c>
      <c r="F22" s="2" t="s">
        <v>175</v>
      </c>
      <c r="G22" s="2" t="s">
        <v>19</v>
      </c>
    </row>
    <row r="23" spans="1:10" ht="60" x14ac:dyDescent="0.25">
      <c r="A23" s="2" t="s">
        <v>120</v>
      </c>
      <c r="B23" s="2" t="s">
        <v>172</v>
      </c>
      <c r="C23" s="3" t="s">
        <v>422</v>
      </c>
      <c r="D23" s="2" t="s">
        <v>423</v>
      </c>
      <c r="E23" s="2" t="s">
        <v>52</v>
      </c>
      <c r="F23" s="2" t="s">
        <v>175</v>
      </c>
      <c r="G23" s="2" t="s">
        <v>22</v>
      </c>
    </row>
    <row r="24" spans="1:10" ht="270" x14ac:dyDescent="0.25">
      <c r="A24" s="2" t="s">
        <v>120</v>
      </c>
      <c r="B24" s="2" t="s">
        <v>424</v>
      </c>
      <c r="C24" s="3" t="s">
        <v>425</v>
      </c>
      <c r="D24" s="2" t="s">
        <v>426</v>
      </c>
      <c r="E24" s="2" t="s">
        <v>183</v>
      </c>
      <c r="F24" s="2" t="s">
        <v>17</v>
      </c>
      <c r="G24" s="2" t="s">
        <v>19</v>
      </c>
      <c r="H24" s="2" t="s">
        <v>361</v>
      </c>
      <c r="I24" s="4" t="s">
        <v>427</v>
      </c>
      <c r="J24" s="4" t="s">
        <v>428</v>
      </c>
    </row>
    <row r="25" spans="1:10" ht="60" x14ac:dyDescent="0.25">
      <c r="A25" s="2" t="s">
        <v>42</v>
      </c>
      <c r="B25" s="2" t="s">
        <v>367</v>
      </c>
      <c r="C25" s="3" t="s">
        <v>429</v>
      </c>
      <c r="D25" s="2" t="s">
        <v>430</v>
      </c>
      <c r="E25" s="2" t="s">
        <v>370</v>
      </c>
      <c r="F25" s="2" t="s">
        <v>17</v>
      </c>
      <c r="G25" s="2" t="s">
        <v>19</v>
      </c>
    </row>
    <row r="26" spans="1:10" ht="60" x14ac:dyDescent="0.25">
      <c r="A26" s="2" t="s">
        <v>42</v>
      </c>
      <c r="B26" s="2" t="s">
        <v>431</v>
      </c>
      <c r="C26" s="3" t="s">
        <v>432</v>
      </c>
      <c r="D26" s="2" t="s">
        <v>433</v>
      </c>
      <c r="E26" s="2" t="s">
        <v>25</v>
      </c>
      <c r="F26" s="2" t="s">
        <v>17</v>
      </c>
      <c r="G26" s="2" t="s">
        <v>46</v>
      </c>
      <c r="H26" s="4" t="s">
        <v>434</v>
      </c>
      <c r="I26" s="4"/>
      <c r="J26" s="4"/>
    </row>
    <row r="27" spans="1:10" ht="45" x14ac:dyDescent="0.25">
      <c r="A27" s="2" t="s">
        <v>195</v>
      </c>
      <c r="B27" s="2" t="s">
        <v>435</v>
      </c>
      <c r="C27" s="3" t="s">
        <v>436</v>
      </c>
      <c r="D27" s="2" t="s">
        <v>437</v>
      </c>
      <c r="E27" s="2" t="s">
        <v>258</v>
      </c>
      <c r="F27" s="2" t="s">
        <v>131</v>
      </c>
      <c r="G27" s="2" t="s">
        <v>19</v>
      </c>
    </row>
    <row r="28" spans="1:10" ht="45" x14ac:dyDescent="0.25">
      <c r="A28" s="2" t="s">
        <v>195</v>
      </c>
      <c r="B28" s="2" t="s">
        <v>435</v>
      </c>
      <c r="C28" s="3" t="s">
        <v>438</v>
      </c>
      <c r="D28" s="2" t="s">
        <v>439</v>
      </c>
      <c r="E28" s="2" t="s">
        <v>258</v>
      </c>
      <c r="F28" s="2" t="s">
        <v>131</v>
      </c>
      <c r="G28" s="2" t="s">
        <v>19</v>
      </c>
    </row>
    <row r="29" spans="1:10" ht="345" x14ac:dyDescent="0.25">
      <c r="A29" s="2" t="s">
        <v>298</v>
      </c>
      <c r="B29" s="2" t="s">
        <v>440</v>
      </c>
      <c r="C29" s="3" t="s">
        <v>441</v>
      </c>
      <c r="D29" s="2" t="s">
        <v>442</v>
      </c>
      <c r="E29" s="2" t="s">
        <v>25</v>
      </c>
      <c r="F29" s="2" t="s">
        <v>72</v>
      </c>
      <c r="G29" s="2" t="s">
        <v>46</v>
      </c>
      <c r="H29" s="2" t="s">
        <v>394</v>
      </c>
      <c r="I29" s="4" t="s">
        <v>443</v>
      </c>
      <c r="J29" s="2" t="s">
        <v>444</v>
      </c>
    </row>
    <row r="30" spans="1:10" ht="300" x14ac:dyDescent="0.25">
      <c r="A30" s="2" t="s">
        <v>298</v>
      </c>
      <c r="B30" s="2" t="s">
        <v>440</v>
      </c>
      <c r="C30" s="3" t="s">
        <v>445</v>
      </c>
      <c r="D30" s="2" t="s">
        <v>446</v>
      </c>
      <c r="E30" s="2" t="s">
        <v>25</v>
      </c>
      <c r="F30" s="2" t="s">
        <v>17</v>
      </c>
      <c r="G30" s="2" t="s">
        <v>19</v>
      </c>
      <c r="H30" s="2" t="s">
        <v>394</v>
      </c>
      <c r="I30" s="4" t="s">
        <v>447</v>
      </c>
      <c r="J30" s="2" t="s">
        <v>448</v>
      </c>
    </row>
    <row r="31" spans="1:10" ht="195" x14ac:dyDescent="0.25">
      <c r="A31" s="2" t="s">
        <v>298</v>
      </c>
      <c r="B31" s="2" t="s">
        <v>440</v>
      </c>
      <c r="C31" s="3" t="s">
        <v>449</v>
      </c>
      <c r="D31" s="2" t="s">
        <v>450</v>
      </c>
      <c r="E31" s="2" t="s">
        <v>25</v>
      </c>
      <c r="F31" s="2" t="s">
        <v>72</v>
      </c>
      <c r="G31" s="2" t="s">
        <v>19</v>
      </c>
      <c r="H31" s="2" t="s">
        <v>451</v>
      </c>
      <c r="I31" s="4" t="s">
        <v>452</v>
      </c>
      <c r="J31" s="2" t="s">
        <v>453</v>
      </c>
    </row>
    <row r="32" spans="1:10" ht="255" x14ac:dyDescent="0.25">
      <c r="A32" s="2" t="s">
        <v>298</v>
      </c>
      <c r="B32" s="2" t="s">
        <v>391</v>
      </c>
      <c r="C32" s="3" t="s">
        <v>454</v>
      </c>
      <c r="D32" s="2" t="s">
        <v>455</v>
      </c>
      <c r="E32" s="2" t="s">
        <v>370</v>
      </c>
      <c r="F32" s="2" t="s">
        <v>72</v>
      </c>
      <c r="G32" s="2" t="s">
        <v>19</v>
      </c>
      <c r="H32" s="2" t="s">
        <v>394</v>
      </c>
      <c r="I32" s="4" t="s">
        <v>456</v>
      </c>
      <c r="J32" s="2" t="s">
        <v>457</v>
      </c>
    </row>
    <row r="33" spans="1:10" ht="240" x14ac:dyDescent="0.25">
      <c r="A33" s="2" t="s">
        <v>298</v>
      </c>
      <c r="B33" s="2" t="s">
        <v>391</v>
      </c>
      <c r="C33" s="3" t="s">
        <v>458</v>
      </c>
      <c r="D33" s="2" t="s">
        <v>459</v>
      </c>
      <c r="E33" s="2" t="s">
        <v>370</v>
      </c>
      <c r="F33" s="2" t="s">
        <v>72</v>
      </c>
      <c r="G33" s="2" t="s">
        <v>19</v>
      </c>
      <c r="H33" s="2" t="s">
        <v>394</v>
      </c>
      <c r="I33" s="4" t="s">
        <v>460</v>
      </c>
      <c r="J33" s="2" t="s">
        <v>461</v>
      </c>
    </row>
    <row r="34" spans="1:10" ht="150" x14ac:dyDescent="0.25">
      <c r="A34" s="2" t="s">
        <v>298</v>
      </c>
      <c r="B34" s="2" t="s">
        <v>312</v>
      </c>
      <c r="C34" s="3" t="s">
        <v>462</v>
      </c>
      <c r="D34" s="2" t="s">
        <v>463</v>
      </c>
      <c r="E34" s="2" t="s">
        <v>370</v>
      </c>
      <c r="F34" s="2" t="s">
        <v>38</v>
      </c>
      <c r="G34" s="2" t="s">
        <v>19</v>
      </c>
      <c r="H34" s="2" t="s">
        <v>394</v>
      </c>
      <c r="I34" s="4" t="s">
        <v>464</v>
      </c>
      <c r="J34" s="2" t="s">
        <v>465</v>
      </c>
    </row>
    <row r="35" spans="1:10" ht="165" x14ac:dyDescent="0.25">
      <c r="A35" s="2" t="s">
        <v>298</v>
      </c>
      <c r="B35" s="2" t="s">
        <v>312</v>
      </c>
      <c r="C35" s="3" t="s">
        <v>466</v>
      </c>
      <c r="D35" s="2" t="s">
        <v>467</v>
      </c>
      <c r="E35" s="2" t="s">
        <v>370</v>
      </c>
      <c r="F35" s="2" t="s">
        <v>131</v>
      </c>
      <c r="G35" s="2" t="s">
        <v>19</v>
      </c>
      <c r="H35" s="2" t="s">
        <v>394</v>
      </c>
      <c r="I35" s="4" t="s">
        <v>468</v>
      </c>
      <c r="J35" s="2" t="s">
        <v>469</v>
      </c>
    </row>
    <row r="36" spans="1:10" ht="150" x14ac:dyDescent="0.25">
      <c r="A36" s="2" t="s">
        <v>298</v>
      </c>
      <c r="B36" s="2" t="s">
        <v>470</v>
      </c>
      <c r="C36" s="3" t="s">
        <v>471</v>
      </c>
      <c r="D36" s="2" t="s">
        <v>472</v>
      </c>
      <c r="E36" s="2" t="s">
        <v>473</v>
      </c>
      <c r="F36" s="2" t="s">
        <v>38</v>
      </c>
      <c r="G36" s="2" t="s">
        <v>46</v>
      </c>
      <c r="H36" s="2" t="s">
        <v>474</v>
      </c>
      <c r="I36" s="4" t="s">
        <v>475</v>
      </c>
      <c r="J36" s="2" t="s">
        <v>476</v>
      </c>
    </row>
    <row r="37" spans="1:10" ht="45" x14ac:dyDescent="0.25">
      <c r="A37" s="2" t="s">
        <v>298</v>
      </c>
      <c r="B37" s="2" t="s">
        <v>470</v>
      </c>
      <c r="C37" s="3" t="s">
        <v>477</v>
      </c>
      <c r="D37" s="2" t="s">
        <v>478</v>
      </c>
      <c r="E37" s="2" t="s">
        <v>479</v>
      </c>
      <c r="F37" s="2" t="s">
        <v>131</v>
      </c>
      <c r="G37" s="2" t="s">
        <v>46</v>
      </c>
    </row>
    <row r="38" spans="1:10" ht="45" x14ac:dyDescent="0.25">
      <c r="A38" s="2" t="s">
        <v>298</v>
      </c>
      <c r="B38" s="2" t="s">
        <v>470</v>
      </c>
      <c r="C38" s="3" t="s">
        <v>480</v>
      </c>
      <c r="D38" s="2" t="s">
        <v>481</v>
      </c>
      <c r="E38" s="2" t="s">
        <v>482</v>
      </c>
      <c r="F38" s="2" t="s">
        <v>131</v>
      </c>
      <c r="G38" s="2" t="s">
        <v>19</v>
      </c>
    </row>
    <row r="39" spans="1:10" ht="60" x14ac:dyDescent="0.25">
      <c r="A39" s="2" t="s">
        <v>298</v>
      </c>
      <c r="B39" s="2" t="s">
        <v>327</v>
      </c>
      <c r="C39" s="3" t="s">
        <v>483</v>
      </c>
      <c r="D39" s="2" t="s">
        <v>484</v>
      </c>
      <c r="E39" s="2" t="s">
        <v>485</v>
      </c>
      <c r="F39" s="2" t="s">
        <v>131</v>
      </c>
      <c r="G39" s="2" t="s">
        <v>19</v>
      </c>
    </row>
    <row r="40" spans="1:10" ht="210" x14ac:dyDescent="0.25">
      <c r="A40" s="2" t="s">
        <v>298</v>
      </c>
      <c r="B40" s="2" t="s">
        <v>299</v>
      </c>
      <c r="C40" s="3" t="s">
        <v>486</v>
      </c>
      <c r="D40" s="2" t="s">
        <v>487</v>
      </c>
      <c r="E40" s="2" t="s">
        <v>370</v>
      </c>
      <c r="F40" s="2" t="s">
        <v>72</v>
      </c>
      <c r="G40" s="2" t="s">
        <v>19</v>
      </c>
      <c r="H40" s="2" t="s">
        <v>394</v>
      </c>
      <c r="I40" s="4" t="s">
        <v>488</v>
      </c>
      <c r="J40" s="2" t="s">
        <v>489</v>
      </c>
    </row>
    <row r="41" spans="1:10" ht="60" x14ac:dyDescent="0.25">
      <c r="A41" s="2" t="s">
        <v>298</v>
      </c>
      <c r="B41" s="2" t="s">
        <v>299</v>
      </c>
      <c r="C41" s="3" t="s">
        <v>490</v>
      </c>
      <c r="D41" s="2" t="s">
        <v>491</v>
      </c>
      <c r="E41" s="2" t="s">
        <v>370</v>
      </c>
      <c r="F41" s="2" t="s">
        <v>38</v>
      </c>
      <c r="G41" s="2" t="s">
        <v>19</v>
      </c>
    </row>
    <row r="42" spans="1:10" ht="60" x14ac:dyDescent="0.25">
      <c r="A42" s="2" t="s">
        <v>298</v>
      </c>
      <c r="B42" s="2" t="s">
        <v>492</v>
      </c>
      <c r="C42" s="3" t="s">
        <v>493</v>
      </c>
      <c r="D42" s="2" t="s">
        <v>494</v>
      </c>
      <c r="E42" s="2" t="s">
        <v>370</v>
      </c>
      <c r="F42" s="2" t="s">
        <v>38</v>
      </c>
      <c r="G42" s="2" t="s">
        <v>19</v>
      </c>
    </row>
    <row r="43" spans="1:10" ht="45" x14ac:dyDescent="0.25">
      <c r="A43" s="2" t="s">
        <v>298</v>
      </c>
      <c r="B43" s="2" t="s">
        <v>492</v>
      </c>
      <c r="C43" s="3" t="s">
        <v>495</v>
      </c>
      <c r="D43" s="2" t="s">
        <v>496</v>
      </c>
      <c r="E43" s="2" t="s">
        <v>482</v>
      </c>
      <c r="F43" s="2" t="s">
        <v>131</v>
      </c>
      <c r="G43" s="2" t="s">
        <v>46</v>
      </c>
    </row>
    <row r="44" spans="1:10" ht="45" x14ac:dyDescent="0.25">
      <c r="A44" s="2" t="s">
        <v>298</v>
      </c>
      <c r="B44" s="2" t="s">
        <v>492</v>
      </c>
      <c r="C44" s="3" t="s">
        <v>497</v>
      </c>
      <c r="D44" s="2" t="s">
        <v>498</v>
      </c>
      <c r="E44" s="2" t="s">
        <v>482</v>
      </c>
      <c r="F44" s="2" t="s">
        <v>131</v>
      </c>
      <c r="G44" s="2" t="s">
        <v>19</v>
      </c>
    </row>
    <row r="45" spans="1:10" ht="60" x14ac:dyDescent="0.25">
      <c r="A45" s="2" t="s">
        <v>298</v>
      </c>
      <c r="B45" s="2" t="s">
        <v>492</v>
      </c>
      <c r="C45" s="3" t="s">
        <v>499</v>
      </c>
      <c r="D45" s="2" t="s">
        <v>500</v>
      </c>
      <c r="E45" s="2" t="s">
        <v>370</v>
      </c>
      <c r="F45" s="2" t="s">
        <v>131</v>
      </c>
      <c r="G45" s="2" t="s">
        <v>19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526C9-09A2-4A99-97BB-151DD8C3AFB9}">
  <dimension ref="A1:H116"/>
  <sheetViews>
    <sheetView topLeftCell="A72" zoomScale="85" zoomScaleNormal="85" workbookViewId="0">
      <selection activeCell="B79" sqref="B79"/>
    </sheetView>
  </sheetViews>
  <sheetFormatPr defaultRowHeight="15" x14ac:dyDescent="0.25"/>
  <cols>
    <col min="1" max="1" width="28.42578125" customWidth="1"/>
    <col min="2" max="2" width="32.7109375" customWidth="1"/>
    <col min="3" max="3" width="35.140625" customWidth="1"/>
    <col min="4" max="4" width="45.5703125" customWidth="1"/>
    <col min="5" max="5" width="47.140625" customWidth="1"/>
    <col min="6" max="6" width="43.5703125" customWidth="1"/>
    <col min="7" max="7" width="86.5703125" customWidth="1"/>
    <col min="8" max="8" width="24.140625" customWidth="1"/>
  </cols>
  <sheetData>
    <row r="1" spans="1:8" x14ac:dyDescent="0.25">
      <c r="A1" s="1" t="s">
        <v>0</v>
      </c>
      <c r="B1" s="1" t="s">
        <v>1</v>
      </c>
      <c r="C1" s="1" t="s">
        <v>2</v>
      </c>
      <c r="D1" s="1" t="s">
        <v>3</v>
      </c>
      <c r="E1" s="1" t="s">
        <v>4</v>
      </c>
      <c r="F1" s="1" t="s">
        <v>5</v>
      </c>
      <c r="G1" s="1" t="s">
        <v>6</v>
      </c>
      <c r="H1" s="1" t="s">
        <v>7</v>
      </c>
    </row>
    <row r="2" spans="1:8" ht="45" x14ac:dyDescent="0.25">
      <c r="A2" s="2" t="s">
        <v>12</v>
      </c>
      <c r="B2" s="2" t="s">
        <v>13</v>
      </c>
      <c r="C2" s="3" t="s">
        <v>501</v>
      </c>
      <c r="D2" s="2" t="s">
        <v>502</v>
      </c>
      <c r="E2" s="2" t="s">
        <v>16</v>
      </c>
      <c r="F2" s="2" t="s">
        <v>17</v>
      </c>
      <c r="G2" s="2" t="s">
        <v>18</v>
      </c>
      <c r="H2" s="2" t="s">
        <v>22</v>
      </c>
    </row>
    <row r="3" spans="1:8" ht="45" x14ac:dyDescent="0.25">
      <c r="A3" s="2" t="s">
        <v>12</v>
      </c>
      <c r="B3" s="2" t="s">
        <v>13</v>
      </c>
      <c r="C3" s="3" t="s">
        <v>503</v>
      </c>
      <c r="D3" s="2" t="s">
        <v>504</v>
      </c>
      <c r="E3" s="2" t="s">
        <v>16</v>
      </c>
      <c r="F3" s="2" t="s">
        <v>17</v>
      </c>
      <c r="G3" s="2" t="s">
        <v>18</v>
      </c>
      <c r="H3" s="2" t="s">
        <v>22</v>
      </c>
    </row>
    <row r="4" spans="1:8" ht="30" x14ac:dyDescent="0.25">
      <c r="A4" s="2" t="s">
        <v>12</v>
      </c>
      <c r="B4" s="2" t="s">
        <v>13</v>
      </c>
      <c r="C4" s="3" t="s">
        <v>505</v>
      </c>
      <c r="D4" s="2" t="s">
        <v>506</v>
      </c>
      <c r="E4" s="2" t="s">
        <v>16</v>
      </c>
      <c r="F4" s="2" t="s">
        <v>17</v>
      </c>
      <c r="G4" s="2" t="s">
        <v>18</v>
      </c>
      <c r="H4" s="2" t="s">
        <v>22</v>
      </c>
    </row>
    <row r="5" spans="1:8" ht="45" x14ac:dyDescent="0.25">
      <c r="A5" s="2" t="s">
        <v>12</v>
      </c>
      <c r="B5" s="2" t="s">
        <v>13</v>
      </c>
      <c r="C5" s="3" t="s">
        <v>20</v>
      </c>
      <c r="D5" s="2" t="s">
        <v>507</v>
      </c>
      <c r="E5" s="2" t="s">
        <v>16</v>
      </c>
      <c r="F5" s="2" t="s">
        <v>17</v>
      </c>
      <c r="G5" s="2" t="s">
        <v>18</v>
      </c>
      <c r="H5" s="2" t="s">
        <v>22</v>
      </c>
    </row>
    <row r="6" spans="1:8" ht="45" x14ac:dyDescent="0.25">
      <c r="A6" s="2" t="s">
        <v>12</v>
      </c>
      <c r="B6" s="2" t="s">
        <v>13</v>
      </c>
      <c r="C6" s="3" t="s">
        <v>23</v>
      </c>
      <c r="D6" s="2" t="s">
        <v>508</v>
      </c>
      <c r="E6" s="2" t="s">
        <v>25</v>
      </c>
      <c r="F6" s="2" t="s">
        <v>17</v>
      </c>
      <c r="G6" s="2" t="s">
        <v>18</v>
      </c>
      <c r="H6" s="2" t="s">
        <v>19</v>
      </c>
    </row>
    <row r="7" spans="1:8" ht="45" x14ac:dyDescent="0.25">
      <c r="A7" s="2" t="s">
        <v>12</v>
      </c>
      <c r="B7" s="2" t="s">
        <v>31</v>
      </c>
      <c r="C7" s="3" t="s">
        <v>36</v>
      </c>
      <c r="D7" s="2" t="s">
        <v>509</v>
      </c>
      <c r="E7" s="2" t="s">
        <v>16</v>
      </c>
      <c r="F7" s="2" t="s">
        <v>38</v>
      </c>
      <c r="G7" s="2" t="s">
        <v>18</v>
      </c>
      <c r="H7" s="2" t="s">
        <v>19</v>
      </c>
    </row>
    <row r="8" spans="1:8" ht="45" x14ac:dyDescent="0.25">
      <c r="A8" s="2" t="s">
        <v>12</v>
      </c>
      <c r="B8" s="2" t="s">
        <v>31</v>
      </c>
      <c r="C8" s="3" t="s">
        <v>510</v>
      </c>
      <c r="D8" s="2" t="s">
        <v>511</v>
      </c>
      <c r="E8" s="2" t="s">
        <v>16</v>
      </c>
      <c r="F8" s="2" t="s">
        <v>17</v>
      </c>
      <c r="G8" s="2" t="s">
        <v>18</v>
      </c>
      <c r="H8" s="2" t="s">
        <v>19</v>
      </c>
    </row>
    <row r="9" spans="1:8" ht="45" x14ac:dyDescent="0.25">
      <c r="A9" s="2" t="s">
        <v>12</v>
      </c>
      <c r="B9" s="2" t="s">
        <v>26</v>
      </c>
      <c r="C9" s="3" t="s">
        <v>27</v>
      </c>
      <c r="D9" s="2" t="s">
        <v>512</v>
      </c>
      <c r="E9" s="2" t="s">
        <v>16</v>
      </c>
      <c r="F9" s="2" t="s">
        <v>17</v>
      </c>
      <c r="G9" s="2" t="s">
        <v>18</v>
      </c>
      <c r="H9" s="2" t="s">
        <v>22</v>
      </c>
    </row>
    <row r="10" spans="1:8" ht="30" x14ac:dyDescent="0.25">
      <c r="A10" s="2" t="s">
        <v>12</v>
      </c>
      <c r="B10" s="2" t="s">
        <v>26</v>
      </c>
      <c r="C10" s="3" t="s">
        <v>29</v>
      </c>
      <c r="D10" s="2" t="s">
        <v>513</v>
      </c>
      <c r="E10" s="2" t="s">
        <v>16</v>
      </c>
      <c r="F10" s="2" t="s">
        <v>17</v>
      </c>
      <c r="G10" s="2" t="s">
        <v>18</v>
      </c>
      <c r="H10" s="2" t="s">
        <v>19</v>
      </c>
    </row>
    <row r="11" spans="1:8" ht="45" x14ac:dyDescent="0.25">
      <c r="A11" s="2" t="s">
        <v>42</v>
      </c>
      <c r="B11" s="2" t="s">
        <v>43</v>
      </c>
      <c r="C11" s="3" t="s">
        <v>514</v>
      </c>
      <c r="D11" s="2" t="s">
        <v>515</v>
      </c>
      <c r="E11" s="2" t="s">
        <v>16</v>
      </c>
      <c r="F11" s="2" t="s">
        <v>17</v>
      </c>
      <c r="G11" s="2" t="s">
        <v>18</v>
      </c>
      <c r="H11" s="2" t="s">
        <v>19</v>
      </c>
    </row>
    <row r="12" spans="1:8" ht="30" x14ac:dyDescent="0.25">
      <c r="A12" s="2" t="s">
        <v>42</v>
      </c>
      <c r="B12" s="2" t="s">
        <v>43</v>
      </c>
      <c r="C12" s="3" t="s">
        <v>516</v>
      </c>
      <c r="D12" s="2" t="s">
        <v>517</v>
      </c>
      <c r="E12" s="2" t="s">
        <v>16</v>
      </c>
      <c r="F12" s="2" t="s">
        <v>17</v>
      </c>
      <c r="G12" s="2" t="s">
        <v>18</v>
      </c>
      <c r="H12" s="2" t="s">
        <v>19</v>
      </c>
    </row>
    <row r="13" spans="1:8" ht="45" x14ac:dyDescent="0.25">
      <c r="A13" s="2" t="s">
        <v>42</v>
      </c>
      <c r="B13" s="2" t="s">
        <v>49</v>
      </c>
      <c r="C13" s="3" t="s">
        <v>50</v>
      </c>
      <c r="D13" s="2" t="s">
        <v>518</v>
      </c>
      <c r="E13" s="2" t="s">
        <v>52</v>
      </c>
      <c r="F13" s="2" t="s">
        <v>17</v>
      </c>
      <c r="G13" s="2" t="s">
        <v>18</v>
      </c>
      <c r="H13" s="2" t="s">
        <v>22</v>
      </c>
    </row>
    <row r="14" spans="1:8" ht="45" x14ac:dyDescent="0.25">
      <c r="A14" s="2" t="s">
        <v>42</v>
      </c>
      <c r="B14" s="2" t="s">
        <v>53</v>
      </c>
      <c r="C14" s="3" t="s">
        <v>519</v>
      </c>
      <c r="D14" s="2" t="s">
        <v>520</v>
      </c>
      <c r="E14" s="2" t="s">
        <v>16</v>
      </c>
      <c r="F14" s="2" t="s">
        <v>17</v>
      </c>
      <c r="G14" s="2" t="s">
        <v>18</v>
      </c>
      <c r="H14" s="2" t="s">
        <v>19</v>
      </c>
    </row>
    <row r="15" spans="1:8" ht="45" x14ac:dyDescent="0.25">
      <c r="A15" s="2" t="s">
        <v>42</v>
      </c>
      <c r="B15" s="2" t="s">
        <v>53</v>
      </c>
      <c r="C15" s="3" t="s">
        <v>58</v>
      </c>
      <c r="D15" s="2" t="s">
        <v>521</v>
      </c>
      <c r="E15" s="2" t="s">
        <v>16</v>
      </c>
      <c r="F15" s="2" t="s">
        <v>17</v>
      </c>
      <c r="G15" s="2" t="s">
        <v>18</v>
      </c>
      <c r="H15" s="2" t="s">
        <v>22</v>
      </c>
    </row>
    <row r="16" spans="1:8" ht="45" x14ac:dyDescent="0.25">
      <c r="A16" s="2" t="s">
        <v>42</v>
      </c>
      <c r="B16" s="2" t="s">
        <v>31</v>
      </c>
      <c r="C16" s="3" t="s">
        <v>67</v>
      </c>
      <c r="D16" s="2" t="s">
        <v>522</v>
      </c>
      <c r="E16" s="2" t="s">
        <v>16</v>
      </c>
      <c r="F16" s="2" t="s">
        <v>17</v>
      </c>
      <c r="G16" s="2" t="s">
        <v>18</v>
      </c>
      <c r="H16" s="2" t="s">
        <v>22</v>
      </c>
    </row>
    <row r="17" spans="1:8" ht="45" x14ac:dyDescent="0.25">
      <c r="A17" s="2" t="s">
        <v>42</v>
      </c>
      <c r="B17" s="2" t="s">
        <v>49</v>
      </c>
      <c r="C17" s="3" t="s">
        <v>60</v>
      </c>
      <c r="D17" s="2" t="s">
        <v>523</v>
      </c>
      <c r="E17" s="2" t="s">
        <v>52</v>
      </c>
      <c r="F17" s="2" t="s">
        <v>17</v>
      </c>
      <c r="G17" s="2" t="s">
        <v>18</v>
      </c>
      <c r="H17" s="2" t="s">
        <v>22</v>
      </c>
    </row>
    <row r="18" spans="1:8" ht="45" x14ac:dyDescent="0.25">
      <c r="A18" s="2" t="s">
        <v>42</v>
      </c>
      <c r="B18" s="2" t="s">
        <v>62</v>
      </c>
      <c r="C18" s="3" t="s">
        <v>524</v>
      </c>
      <c r="D18" s="2" t="s">
        <v>525</v>
      </c>
      <c r="E18" s="2" t="s">
        <v>16</v>
      </c>
      <c r="F18" s="2" t="s">
        <v>17</v>
      </c>
      <c r="G18" s="2" t="s">
        <v>18</v>
      </c>
      <c r="H18" s="2" t="s">
        <v>19</v>
      </c>
    </row>
    <row r="19" spans="1:8" ht="30" x14ac:dyDescent="0.25">
      <c r="A19" s="2" t="s">
        <v>42</v>
      </c>
      <c r="B19" s="2" t="s">
        <v>43</v>
      </c>
      <c r="C19" s="3" t="s">
        <v>47</v>
      </c>
      <c r="D19" s="2" t="s">
        <v>526</v>
      </c>
      <c r="E19" s="2" t="s">
        <v>16</v>
      </c>
      <c r="F19" s="2" t="s">
        <v>17</v>
      </c>
      <c r="G19" s="2" t="s">
        <v>18</v>
      </c>
      <c r="H19" s="2" t="s">
        <v>19</v>
      </c>
    </row>
    <row r="20" spans="1:8" ht="60" x14ac:dyDescent="0.25">
      <c r="A20" s="2" t="s">
        <v>103</v>
      </c>
      <c r="B20" s="2" t="s">
        <v>104</v>
      </c>
      <c r="C20" s="3" t="s">
        <v>527</v>
      </c>
      <c r="D20" s="2" t="s">
        <v>528</v>
      </c>
      <c r="E20" s="2" t="s">
        <v>529</v>
      </c>
      <c r="F20" s="2" t="s">
        <v>72</v>
      </c>
      <c r="G20" s="4" t="s">
        <v>530</v>
      </c>
      <c r="H20" s="2" t="s">
        <v>19</v>
      </c>
    </row>
    <row r="21" spans="1:8" ht="45" x14ac:dyDescent="0.25">
      <c r="A21" s="2" t="s">
        <v>103</v>
      </c>
      <c r="B21" s="2" t="s">
        <v>104</v>
      </c>
      <c r="C21" s="3" t="s">
        <v>531</v>
      </c>
      <c r="D21" s="2" t="s">
        <v>532</v>
      </c>
      <c r="E21" s="2" t="s">
        <v>529</v>
      </c>
      <c r="F21" s="2" t="s">
        <v>72</v>
      </c>
      <c r="G21" s="4" t="s">
        <v>533</v>
      </c>
      <c r="H21" s="2" t="s">
        <v>19</v>
      </c>
    </row>
    <row r="22" spans="1:8" ht="45" x14ac:dyDescent="0.25">
      <c r="A22" s="2" t="s">
        <v>103</v>
      </c>
      <c r="B22" s="2" t="s">
        <v>104</v>
      </c>
      <c r="C22" s="3" t="s">
        <v>534</v>
      </c>
      <c r="D22" s="2" t="s">
        <v>535</v>
      </c>
      <c r="E22" s="2" t="s">
        <v>25</v>
      </c>
      <c r="F22" s="2" t="s">
        <v>17</v>
      </c>
      <c r="G22" s="2" t="s">
        <v>18</v>
      </c>
      <c r="H22" s="2" t="s">
        <v>19</v>
      </c>
    </row>
    <row r="23" spans="1:8" ht="45" x14ac:dyDescent="0.25">
      <c r="A23" s="2" t="s">
        <v>103</v>
      </c>
      <c r="B23" s="2" t="s">
        <v>104</v>
      </c>
      <c r="C23" s="3" t="s">
        <v>536</v>
      </c>
      <c r="D23" s="2" t="s">
        <v>537</v>
      </c>
      <c r="E23" s="2" t="s">
        <v>111</v>
      </c>
      <c r="F23" s="2" t="s">
        <v>72</v>
      </c>
      <c r="G23" s="4" t="s">
        <v>112</v>
      </c>
      <c r="H23" s="2" t="s">
        <v>19</v>
      </c>
    </row>
    <row r="24" spans="1:8" ht="45" x14ac:dyDescent="0.25">
      <c r="A24" s="2" t="s">
        <v>103</v>
      </c>
      <c r="B24" s="2" t="s">
        <v>104</v>
      </c>
      <c r="C24" s="3" t="s">
        <v>538</v>
      </c>
      <c r="D24" s="2" t="s">
        <v>539</v>
      </c>
      <c r="E24" s="2" t="s">
        <v>111</v>
      </c>
      <c r="F24" s="2" t="s">
        <v>72</v>
      </c>
      <c r="G24" s="4" t="s">
        <v>540</v>
      </c>
      <c r="H24" s="2" t="s">
        <v>22</v>
      </c>
    </row>
    <row r="25" spans="1:8" ht="45" x14ac:dyDescent="0.25">
      <c r="A25" s="2" t="s">
        <v>103</v>
      </c>
      <c r="B25" s="2" t="s">
        <v>104</v>
      </c>
      <c r="C25" s="3" t="s">
        <v>117</v>
      </c>
      <c r="D25" s="2" t="s">
        <v>541</v>
      </c>
      <c r="E25" s="2" t="s">
        <v>86</v>
      </c>
      <c r="F25" s="2" t="s">
        <v>72</v>
      </c>
      <c r="G25" s="4" t="s">
        <v>119</v>
      </c>
      <c r="H25" s="2" t="s">
        <v>19</v>
      </c>
    </row>
    <row r="26" spans="1:8" ht="60" x14ac:dyDescent="0.25">
      <c r="A26" s="2" t="s">
        <v>120</v>
      </c>
      <c r="B26" s="2" t="s">
        <v>121</v>
      </c>
      <c r="C26" s="3" t="s">
        <v>542</v>
      </c>
      <c r="D26" s="2" t="s">
        <v>543</v>
      </c>
      <c r="E26" s="2" t="s">
        <v>111</v>
      </c>
      <c r="F26" s="2" t="s">
        <v>17</v>
      </c>
      <c r="G26" s="2" t="s">
        <v>18</v>
      </c>
      <c r="H26" s="2" t="s">
        <v>19</v>
      </c>
    </row>
    <row r="27" spans="1:8" ht="45" x14ac:dyDescent="0.25">
      <c r="A27" s="2" t="s">
        <v>120</v>
      </c>
      <c r="B27" s="2" t="s">
        <v>144</v>
      </c>
      <c r="C27" s="3" t="s">
        <v>145</v>
      </c>
      <c r="D27" s="2" t="s">
        <v>544</v>
      </c>
      <c r="E27" s="2" t="s">
        <v>545</v>
      </c>
      <c r="F27" s="2" t="s">
        <v>17</v>
      </c>
      <c r="G27" s="2" t="s">
        <v>18</v>
      </c>
      <c r="H27" s="2" t="s">
        <v>46</v>
      </c>
    </row>
    <row r="28" spans="1:8" ht="60" x14ac:dyDescent="0.25">
      <c r="A28" s="2" t="s">
        <v>120</v>
      </c>
      <c r="B28" s="2" t="s">
        <v>144</v>
      </c>
      <c r="C28" s="3" t="s">
        <v>148</v>
      </c>
      <c r="D28" s="2" t="s">
        <v>546</v>
      </c>
      <c r="E28" s="2" t="s">
        <v>545</v>
      </c>
      <c r="F28" s="2" t="s">
        <v>17</v>
      </c>
      <c r="G28" s="2" t="s">
        <v>18</v>
      </c>
      <c r="H28" s="2" t="s">
        <v>46</v>
      </c>
    </row>
    <row r="29" spans="1:8" ht="45" x14ac:dyDescent="0.25">
      <c r="A29" s="2" t="s">
        <v>120</v>
      </c>
      <c r="B29" s="2" t="s">
        <v>121</v>
      </c>
      <c r="C29" s="3" t="s">
        <v>134</v>
      </c>
      <c r="D29" s="2" t="s">
        <v>547</v>
      </c>
      <c r="E29" s="2" t="s">
        <v>111</v>
      </c>
      <c r="F29" s="2" t="s">
        <v>17</v>
      </c>
      <c r="G29" s="2" t="s">
        <v>18</v>
      </c>
      <c r="H29" s="2" t="s">
        <v>22</v>
      </c>
    </row>
    <row r="30" spans="1:8" ht="45" x14ac:dyDescent="0.25">
      <c r="A30" s="2" t="s">
        <v>120</v>
      </c>
      <c r="B30" s="2" t="s">
        <v>121</v>
      </c>
      <c r="C30" s="3" t="s">
        <v>548</v>
      </c>
      <c r="D30" s="2" t="s">
        <v>549</v>
      </c>
      <c r="E30" s="2" t="s">
        <v>111</v>
      </c>
      <c r="F30" s="2" t="s">
        <v>17</v>
      </c>
      <c r="G30" s="2" t="s">
        <v>18</v>
      </c>
      <c r="H30" s="2" t="s">
        <v>19</v>
      </c>
    </row>
    <row r="31" spans="1:8" ht="30" x14ac:dyDescent="0.25">
      <c r="A31" s="2" t="s">
        <v>120</v>
      </c>
      <c r="B31" s="2" t="s">
        <v>121</v>
      </c>
      <c r="C31" s="3" t="s">
        <v>142</v>
      </c>
      <c r="D31" s="2" t="s">
        <v>550</v>
      </c>
      <c r="E31" s="2" t="s">
        <v>111</v>
      </c>
      <c r="F31" s="2" t="s">
        <v>17</v>
      </c>
      <c r="G31" s="2" t="s">
        <v>18</v>
      </c>
      <c r="H31" s="2" t="s">
        <v>22</v>
      </c>
    </row>
    <row r="32" spans="1:8" ht="45" x14ac:dyDescent="0.25">
      <c r="A32" s="2" t="s">
        <v>120</v>
      </c>
      <c r="B32" s="2" t="s">
        <v>180</v>
      </c>
      <c r="C32" s="3" t="s">
        <v>551</v>
      </c>
      <c r="D32" s="2" t="s">
        <v>552</v>
      </c>
      <c r="E32" s="2" t="s">
        <v>183</v>
      </c>
      <c r="F32" s="2" t="s">
        <v>17</v>
      </c>
      <c r="G32" s="2" t="s">
        <v>18</v>
      </c>
      <c r="H32" s="2" t="s">
        <v>19</v>
      </c>
    </row>
    <row r="33" spans="1:8" ht="45" x14ac:dyDescent="0.25">
      <c r="A33" s="2" t="s">
        <v>120</v>
      </c>
      <c r="B33" s="2" t="s">
        <v>180</v>
      </c>
      <c r="C33" s="3" t="s">
        <v>553</v>
      </c>
      <c r="D33" s="2" t="s">
        <v>554</v>
      </c>
      <c r="E33" s="2" t="s">
        <v>183</v>
      </c>
      <c r="F33" s="2" t="s">
        <v>184</v>
      </c>
      <c r="G33" s="4" t="s">
        <v>555</v>
      </c>
      <c r="H33" s="2" t="s">
        <v>19</v>
      </c>
    </row>
    <row r="34" spans="1:8" ht="45" x14ac:dyDescent="0.25">
      <c r="A34" s="2" t="s">
        <v>120</v>
      </c>
      <c r="B34" s="2" t="s">
        <v>180</v>
      </c>
      <c r="C34" s="3" t="s">
        <v>186</v>
      </c>
      <c r="D34" s="2" t="s">
        <v>556</v>
      </c>
      <c r="E34" s="2" t="s">
        <v>557</v>
      </c>
      <c r="F34" s="2" t="s">
        <v>131</v>
      </c>
      <c r="G34" s="2" t="s">
        <v>18</v>
      </c>
      <c r="H34" s="2" t="s">
        <v>19</v>
      </c>
    </row>
    <row r="35" spans="1:8" ht="45" x14ac:dyDescent="0.25">
      <c r="A35" s="2" t="s">
        <v>120</v>
      </c>
      <c r="B35" s="2" t="s">
        <v>180</v>
      </c>
      <c r="C35" s="3" t="s">
        <v>188</v>
      </c>
      <c r="D35" s="2" t="s">
        <v>558</v>
      </c>
      <c r="E35" s="2" t="s">
        <v>559</v>
      </c>
      <c r="F35" s="2" t="s">
        <v>131</v>
      </c>
      <c r="G35" s="2" t="s">
        <v>18</v>
      </c>
      <c r="H35" s="2" t="s">
        <v>46</v>
      </c>
    </row>
    <row r="36" spans="1:8" ht="45" x14ac:dyDescent="0.25">
      <c r="A36" s="2" t="s">
        <v>120</v>
      </c>
      <c r="B36" s="2" t="s">
        <v>155</v>
      </c>
      <c r="C36" s="3" t="s">
        <v>560</v>
      </c>
      <c r="D36" s="2" t="s">
        <v>561</v>
      </c>
      <c r="E36" s="2" t="s">
        <v>86</v>
      </c>
      <c r="F36" s="2" t="s">
        <v>72</v>
      </c>
      <c r="G36" s="4" t="s">
        <v>158</v>
      </c>
      <c r="H36" s="2" t="s">
        <v>19</v>
      </c>
    </row>
    <row r="37" spans="1:8" ht="45" x14ac:dyDescent="0.25">
      <c r="A37" s="2" t="s">
        <v>120</v>
      </c>
      <c r="B37" s="2" t="s">
        <v>155</v>
      </c>
      <c r="C37" s="3" t="s">
        <v>562</v>
      </c>
      <c r="D37" s="2" t="s">
        <v>563</v>
      </c>
      <c r="E37" s="2" t="s">
        <v>86</v>
      </c>
      <c r="F37" s="2" t="s">
        <v>72</v>
      </c>
      <c r="G37" s="4" t="s">
        <v>158</v>
      </c>
      <c r="H37" s="2" t="s">
        <v>19</v>
      </c>
    </row>
    <row r="38" spans="1:8" ht="45" x14ac:dyDescent="0.25">
      <c r="A38" s="2" t="s">
        <v>120</v>
      </c>
      <c r="B38" s="2" t="s">
        <v>155</v>
      </c>
      <c r="C38" s="3" t="s">
        <v>564</v>
      </c>
      <c r="D38" s="2" t="s">
        <v>565</v>
      </c>
      <c r="E38" s="2" t="s">
        <v>86</v>
      </c>
      <c r="F38" s="2" t="s">
        <v>72</v>
      </c>
      <c r="G38" s="4" t="s">
        <v>158</v>
      </c>
      <c r="H38" s="2" t="s">
        <v>22</v>
      </c>
    </row>
    <row r="39" spans="1:8" ht="45" x14ac:dyDescent="0.25">
      <c r="A39" s="2" t="s">
        <v>120</v>
      </c>
      <c r="B39" s="2" t="s">
        <v>172</v>
      </c>
      <c r="C39" s="3" t="s">
        <v>173</v>
      </c>
      <c r="D39" s="2" t="s">
        <v>566</v>
      </c>
      <c r="E39" s="2" t="s">
        <v>52</v>
      </c>
      <c r="F39" s="2" t="s">
        <v>175</v>
      </c>
      <c r="G39" s="4" t="s">
        <v>176</v>
      </c>
      <c r="H39" s="2" t="s">
        <v>19</v>
      </c>
    </row>
    <row r="40" spans="1:8" ht="30" x14ac:dyDescent="0.25">
      <c r="A40" s="2" t="s">
        <v>120</v>
      </c>
      <c r="B40" s="2" t="s">
        <v>150</v>
      </c>
      <c r="C40" s="3" t="s">
        <v>567</v>
      </c>
      <c r="D40" s="2" t="s">
        <v>568</v>
      </c>
      <c r="E40" s="2" t="s">
        <v>52</v>
      </c>
      <c r="F40" s="2" t="s">
        <v>17</v>
      </c>
      <c r="G40" s="2" t="s">
        <v>18</v>
      </c>
      <c r="H40" s="2" t="s">
        <v>22</v>
      </c>
    </row>
    <row r="41" spans="1:8" ht="30" x14ac:dyDescent="0.25">
      <c r="A41" s="2" t="s">
        <v>120</v>
      </c>
      <c r="B41" s="2" t="s">
        <v>150</v>
      </c>
      <c r="C41" s="3" t="s">
        <v>569</v>
      </c>
      <c r="D41" s="2" t="s">
        <v>570</v>
      </c>
      <c r="E41" s="2" t="s">
        <v>52</v>
      </c>
      <c r="F41" s="2" t="s">
        <v>17</v>
      </c>
      <c r="G41" s="2" t="s">
        <v>18</v>
      </c>
      <c r="H41" s="2" t="s">
        <v>22</v>
      </c>
    </row>
    <row r="42" spans="1:8" ht="60" x14ac:dyDescent="0.25">
      <c r="A42" s="2" t="s">
        <v>120</v>
      </c>
      <c r="B42" s="2" t="s">
        <v>150</v>
      </c>
      <c r="C42" s="3" t="s">
        <v>122</v>
      </c>
      <c r="D42" s="2" t="s">
        <v>571</v>
      </c>
      <c r="E42" s="2" t="s">
        <v>124</v>
      </c>
      <c r="F42" s="2" t="s">
        <v>17</v>
      </c>
      <c r="G42" s="2" t="s">
        <v>18</v>
      </c>
      <c r="H42" s="2" t="s">
        <v>19</v>
      </c>
    </row>
    <row r="43" spans="1:8" ht="45" x14ac:dyDescent="0.25">
      <c r="A43" s="2" t="s">
        <v>120</v>
      </c>
      <c r="B43" s="2" t="s">
        <v>191</v>
      </c>
      <c r="C43" s="3" t="s">
        <v>572</v>
      </c>
      <c r="D43" s="2" t="s">
        <v>573</v>
      </c>
      <c r="E43" s="2" t="s">
        <v>194</v>
      </c>
      <c r="F43" s="2" t="s">
        <v>131</v>
      </c>
      <c r="G43" s="2" t="s">
        <v>18</v>
      </c>
      <c r="H43" s="2" t="s">
        <v>19</v>
      </c>
    </row>
    <row r="44" spans="1:8" ht="30" x14ac:dyDescent="0.25">
      <c r="A44" s="2" t="s">
        <v>120</v>
      </c>
      <c r="B44" s="2" t="s">
        <v>191</v>
      </c>
      <c r="C44" s="3" t="s">
        <v>574</v>
      </c>
      <c r="D44" s="2" t="s">
        <v>575</v>
      </c>
      <c r="E44" s="2" t="s">
        <v>194</v>
      </c>
      <c r="F44" s="2" t="s">
        <v>131</v>
      </c>
      <c r="G44" s="2" t="s">
        <v>18</v>
      </c>
      <c r="H44" s="2" t="s">
        <v>19</v>
      </c>
    </row>
    <row r="45" spans="1:8" ht="30" x14ac:dyDescent="0.25">
      <c r="A45" s="2" t="s">
        <v>120</v>
      </c>
      <c r="B45" s="2" t="s">
        <v>191</v>
      </c>
      <c r="C45" s="3" t="s">
        <v>576</v>
      </c>
      <c r="D45" s="2" t="s">
        <v>577</v>
      </c>
      <c r="E45" s="2" t="s">
        <v>194</v>
      </c>
      <c r="F45" s="2" t="s">
        <v>131</v>
      </c>
      <c r="G45" s="2" t="s">
        <v>18</v>
      </c>
      <c r="H45" s="2" t="s">
        <v>19</v>
      </c>
    </row>
    <row r="46" spans="1:8" ht="45" x14ac:dyDescent="0.25">
      <c r="A46" s="2" t="s">
        <v>120</v>
      </c>
      <c r="B46" s="2" t="s">
        <v>177</v>
      </c>
      <c r="C46" s="3" t="s">
        <v>578</v>
      </c>
      <c r="D46" s="2" t="s">
        <v>579</v>
      </c>
      <c r="E46" s="2" t="s">
        <v>16</v>
      </c>
      <c r="F46" s="2" t="s">
        <v>38</v>
      </c>
      <c r="G46" s="2" t="s">
        <v>18</v>
      </c>
      <c r="H46" s="2" t="s">
        <v>46</v>
      </c>
    </row>
    <row r="47" spans="1:8" ht="45" x14ac:dyDescent="0.25">
      <c r="A47" s="2" t="s">
        <v>120</v>
      </c>
      <c r="B47" s="2" t="s">
        <v>177</v>
      </c>
      <c r="C47" s="3" t="s">
        <v>580</v>
      </c>
      <c r="D47" s="2" t="s">
        <v>581</v>
      </c>
      <c r="E47" s="2" t="s">
        <v>16</v>
      </c>
      <c r="F47" s="2" t="s">
        <v>38</v>
      </c>
      <c r="G47" s="2" t="s">
        <v>18</v>
      </c>
      <c r="H47" s="2" t="s">
        <v>19</v>
      </c>
    </row>
    <row r="48" spans="1:8" ht="60" x14ac:dyDescent="0.25">
      <c r="A48" s="2" t="s">
        <v>120</v>
      </c>
      <c r="B48" s="2" t="s">
        <v>159</v>
      </c>
      <c r="C48" s="3" t="s">
        <v>160</v>
      </c>
      <c r="D48" s="2" t="s">
        <v>582</v>
      </c>
      <c r="E48" s="2" t="s">
        <v>16</v>
      </c>
      <c r="F48" s="2" t="s">
        <v>17</v>
      </c>
      <c r="G48" s="2" t="s">
        <v>18</v>
      </c>
      <c r="H48" s="2" t="s">
        <v>22</v>
      </c>
    </row>
    <row r="49" spans="1:8" ht="60" x14ac:dyDescent="0.25">
      <c r="A49" s="2" t="s">
        <v>120</v>
      </c>
      <c r="B49" s="2" t="s">
        <v>159</v>
      </c>
      <c r="C49" s="3" t="s">
        <v>162</v>
      </c>
      <c r="D49" s="2" t="s">
        <v>583</v>
      </c>
      <c r="E49" s="2" t="s">
        <v>16</v>
      </c>
      <c r="F49" s="2" t="s">
        <v>17</v>
      </c>
      <c r="G49" s="2" t="s">
        <v>18</v>
      </c>
      <c r="H49" s="2" t="s">
        <v>22</v>
      </c>
    </row>
    <row r="50" spans="1:8" ht="30" x14ac:dyDescent="0.25">
      <c r="A50" s="2" t="s">
        <v>120</v>
      </c>
      <c r="B50" s="2" t="s">
        <v>159</v>
      </c>
      <c r="C50" s="3" t="s">
        <v>164</v>
      </c>
      <c r="D50" s="2" t="s">
        <v>584</v>
      </c>
      <c r="E50" s="2" t="s">
        <v>16</v>
      </c>
      <c r="F50" s="2" t="s">
        <v>17</v>
      </c>
      <c r="G50" s="2" t="s">
        <v>18</v>
      </c>
      <c r="H50" s="2" t="s">
        <v>19</v>
      </c>
    </row>
    <row r="51" spans="1:8" ht="30" x14ac:dyDescent="0.25">
      <c r="A51" s="2" t="s">
        <v>120</v>
      </c>
      <c r="B51" s="2" t="s">
        <v>159</v>
      </c>
      <c r="C51" s="3" t="s">
        <v>166</v>
      </c>
      <c r="D51" s="2" t="s">
        <v>585</v>
      </c>
      <c r="E51" s="2" t="s">
        <v>16</v>
      </c>
      <c r="F51" s="2" t="s">
        <v>17</v>
      </c>
      <c r="G51" s="2" t="s">
        <v>18</v>
      </c>
      <c r="H51" s="2" t="s">
        <v>19</v>
      </c>
    </row>
    <row r="52" spans="1:8" ht="30" x14ac:dyDescent="0.25">
      <c r="A52" s="2" t="s">
        <v>120</v>
      </c>
      <c r="B52" s="2" t="s">
        <v>159</v>
      </c>
      <c r="C52" s="3" t="s">
        <v>586</v>
      </c>
      <c r="D52" s="2" t="s">
        <v>587</v>
      </c>
      <c r="E52" s="2" t="s">
        <v>16</v>
      </c>
      <c r="F52" s="2" t="s">
        <v>17</v>
      </c>
      <c r="G52" s="2" t="s">
        <v>18</v>
      </c>
      <c r="H52" s="2" t="s">
        <v>19</v>
      </c>
    </row>
    <row r="53" spans="1:8" ht="45" x14ac:dyDescent="0.25">
      <c r="A53" s="2" t="s">
        <v>69</v>
      </c>
      <c r="B53" s="2" t="s">
        <v>53</v>
      </c>
      <c r="C53" s="3" t="s">
        <v>70</v>
      </c>
      <c r="D53" s="2" t="s">
        <v>588</v>
      </c>
      <c r="E53" s="2" t="s">
        <v>25</v>
      </c>
      <c r="F53" s="2" t="s">
        <v>72</v>
      </c>
      <c r="G53" s="4" t="s">
        <v>73</v>
      </c>
      <c r="H53" s="2" t="s">
        <v>19</v>
      </c>
    </row>
    <row r="54" spans="1:8" ht="60" x14ac:dyDescent="0.25">
      <c r="A54" s="2" t="s">
        <v>69</v>
      </c>
      <c r="B54" s="2" t="s">
        <v>53</v>
      </c>
      <c r="C54" s="3" t="s">
        <v>74</v>
      </c>
      <c r="D54" s="2" t="s">
        <v>589</v>
      </c>
      <c r="E54" s="2" t="s">
        <v>25</v>
      </c>
      <c r="F54" s="2" t="s">
        <v>17</v>
      </c>
      <c r="G54" s="2" t="s">
        <v>18</v>
      </c>
      <c r="H54" s="2" t="s">
        <v>19</v>
      </c>
    </row>
    <row r="55" spans="1:8" ht="45" x14ac:dyDescent="0.25">
      <c r="A55" s="2" t="s">
        <v>69</v>
      </c>
      <c r="B55" s="2" t="s">
        <v>98</v>
      </c>
      <c r="C55" s="3" t="s">
        <v>99</v>
      </c>
      <c r="D55" s="2" t="s">
        <v>590</v>
      </c>
      <c r="E55" s="2" t="s">
        <v>25</v>
      </c>
      <c r="F55" s="2" t="s">
        <v>17</v>
      </c>
      <c r="G55" s="2" t="s">
        <v>18</v>
      </c>
      <c r="H55" s="2" t="s">
        <v>19</v>
      </c>
    </row>
    <row r="56" spans="1:8" ht="30" x14ac:dyDescent="0.25">
      <c r="A56" s="2" t="s">
        <v>69</v>
      </c>
      <c r="B56" s="2" t="s">
        <v>98</v>
      </c>
      <c r="C56" s="3" t="s">
        <v>101</v>
      </c>
      <c r="D56" s="2" t="s">
        <v>591</v>
      </c>
      <c r="E56" s="2" t="s">
        <v>16</v>
      </c>
      <c r="F56" s="2" t="s">
        <v>38</v>
      </c>
      <c r="G56" s="2" t="s">
        <v>18</v>
      </c>
      <c r="H56" s="2" t="s">
        <v>22</v>
      </c>
    </row>
    <row r="57" spans="1:8" ht="45" x14ac:dyDescent="0.25">
      <c r="A57" s="2" t="s">
        <v>69</v>
      </c>
      <c r="B57" s="2" t="s">
        <v>53</v>
      </c>
      <c r="C57" s="3" t="s">
        <v>592</v>
      </c>
      <c r="D57" s="2" t="s">
        <v>593</v>
      </c>
      <c r="E57" s="2" t="s">
        <v>16</v>
      </c>
      <c r="F57" s="2" t="s">
        <v>72</v>
      </c>
      <c r="G57" s="4" t="s">
        <v>594</v>
      </c>
      <c r="H57" s="2" t="s">
        <v>19</v>
      </c>
    </row>
    <row r="58" spans="1:8" ht="45" x14ac:dyDescent="0.25">
      <c r="A58" s="2" t="s">
        <v>69</v>
      </c>
      <c r="B58" s="2" t="s">
        <v>76</v>
      </c>
      <c r="C58" s="3" t="s">
        <v>77</v>
      </c>
      <c r="D58" s="2" t="s">
        <v>595</v>
      </c>
      <c r="E58" s="2" t="s">
        <v>16</v>
      </c>
      <c r="F58" s="2" t="s">
        <v>17</v>
      </c>
      <c r="G58" s="2" t="s">
        <v>18</v>
      </c>
      <c r="H58" s="2" t="s">
        <v>19</v>
      </c>
    </row>
    <row r="59" spans="1:8" ht="45" x14ac:dyDescent="0.25">
      <c r="A59" s="2" t="s">
        <v>69</v>
      </c>
      <c r="B59" s="2" t="s">
        <v>76</v>
      </c>
      <c r="C59" s="3" t="s">
        <v>596</v>
      </c>
      <c r="D59" s="2" t="s">
        <v>597</v>
      </c>
      <c r="E59" s="2" t="s">
        <v>16</v>
      </c>
      <c r="F59" s="2" t="s">
        <v>72</v>
      </c>
      <c r="G59" s="4" t="s">
        <v>594</v>
      </c>
      <c r="H59" s="2" t="s">
        <v>19</v>
      </c>
    </row>
    <row r="60" spans="1:8" ht="30" x14ac:dyDescent="0.25">
      <c r="A60" s="2" t="s">
        <v>69</v>
      </c>
      <c r="B60" s="2" t="s">
        <v>76</v>
      </c>
      <c r="C60" s="3" t="s">
        <v>87</v>
      </c>
      <c r="D60" s="2" t="s">
        <v>598</v>
      </c>
      <c r="E60" s="2" t="s">
        <v>16</v>
      </c>
      <c r="F60" s="2" t="s">
        <v>17</v>
      </c>
      <c r="G60" s="2" t="s">
        <v>18</v>
      </c>
      <c r="H60" s="2" t="s">
        <v>19</v>
      </c>
    </row>
    <row r="61" spans="1:8" ht="45" x14ac:dyDescent="0.25">
      <c r="A61" s="2" t="s">
        <v>69</v>
      </c>
      <c r="B61" s="2" t="s">
        <v>76</v>
      </c>
      <c r="C61" s="3" t="s">
        <v>599</v>
      </c>
      <c r="D61" s="2" t="s">
        <v>600</v>
      </c>
      <c r="E61" s="2" t="s">
        <v>601</v>
      </c>
      <c r="F61" s="2" t="s">
        <v>17</v>
      </c>
      <c r="G61" s="2" t="s">
        <v>18</v>
      </c>
      <c r="H61" s="2" t="s">
        <v>19</v>
      </c>
    </row>
    <row r="62" spans="1:8" ht="45" x14ac:dyDescent="0.25">
      <c r="A62" s="2" t="s">
        <v>69</v>
      </c>
      <c r="B62" s="2" t="s">
        <v>602</v>
      </c>
      <c r="C62" s="3" t="s">
        <v>603</v>
      </c>
      <c r="D62" s="2" t="s">
        <v>604</v>
      </c>
      <c r="E62" s="2" t="s">
        <v>16</v>
      </c>
      <c r="F62" s="2" t="s">
        <v>17</v>
      </c>
      <c r="G62" s="2" t="s">
        <v>18</v>
      </c>
      <c r="H62" s="2" t="s">
        <v>19</v>
      </c>
    </row>
    <row r="63" spans="1:8" ht="45" x14ac:dyDescent="0.25">
      <c r="A63" s="2" t="s">
        <v>69</v>
      </c>
      <c r="B63" s="2" t="s">
        <v>89</v>
      </c>
      <c r="C63" s="3" t="s">
        <v>94</v>
      </c>
      <c r="D63" s="2" t="s">
        <v>605</v>
      </c>
      <c r="E63" s="2" t="s">
        <v>16</v>
      </c>
      <c r="F63" s="2" t="s">
        <v>17</v>
      </c>
      <c r="G63" s="2" t="s">
        <v>18</v>
      </c>
      <c r="H63" s="2" t="s">
        <v>19</v>
      </c>
    </row>
    <row r="64" spans="1:8" ht="30" x14ac:dyDescent="0.25">
      <c r="A64" s="2" t="s">
        <v>69</v>
      </c>
      <c r="B64" s="2" t="s">
        <v>89</v>
      </c>
      <c r="C64" s="3" t="s">
        <v>96</v>
      </c>
      <c r="D64" s="2" t="s">
        <v>606</v>
      </c>
      <c r="E64" s="2" t="s">
        <v>16</v>
      </c>
      <c r="F64" s="2" t="s">
        <v>17</v>
      </c>
      <c r="G64" s="2" t="s">
        <v>18</v>
      </c>
      <c r="H64" s="2" t="s">
        <v>19</v>
      </c>
    </row>
    <row r="65" spans="1:8" ht="30" x14ac:dyDescent="0.25">
      <c r="A65" s="2" t="s">
        <v>69</v>
      </c>
      <c r="B65" s="2" t="s">
        <v>89</v>
      </c>
      <c r="C65" s="3" t="s">
        <v>607</v>
      </c>
      <c r="D65" s="2" t="s">
        <v>608</v>
      </c>
      <c r="E65" s="2" t="s">
        <v>16</v>
      </c>
      <c r="F65" s="2" t="s">
        <v>17</v>
      </c>
      <c r="G65" s="2" t="s">
        <v>18</v>
      </c>
      <c r="H65" s="2" t="s">
        <v>19</v>
      </c>
    </row>
    <row r="66" spans="1:8" ht="45" x14ac:dyDescent="0.25">
      <c r="A66" s="2" t="s">
        <v>195</v>
      </c>
      <c r="B66" s="2" t="s">
        <v>255</v>
      </c>
      <c r="C66" s="3" t="s">
        <v>609</v>
      </c>
      <c r="D66" s="2" t="s">
        <v>610</v>
      </c>
      <c r="E66" s="2" t="s">
        <v>258</v>
      </c>
      <c r="F66" s="2" t="s">
        <v>38</v>
      </c>
      <c r="G66" s="2" t="s">
        <v>18</v>
      </c>
      <c r="H66" s="2" t="s">
        <v>19</v>
      </c>
    </row>
    <row r="67" spans="1:8" ht="45" x14ac:dyDescent="0.25">
      <c r="A67" s="2" t="s">
        <v>195</v>
      </c>
      <c r="B67" s="2" t="s">
        <v>255</v>
      </c>
      <c r="C67" s="3" t="s">
        <v>611</v>
      </c>
      <c r="D67" s="2" t="s">
        <v>612</v>
      </c>
      <c r="E67" s="2" t="s">
        <v>258</v>
      </c>
      <c r="F67" s="2" t="s">
        <v>38</v>
      </c>
      <c r="G67" s="2" t="s">
        <v>18</v>
      </c>
      <c r="H67" s="2" t="s">
        <v>19</v>
      </c>
    </row>
    <row r="68" spans="1:8" ht="45" x14ac:dyDescent="0.25">
      <c r="A68" s="2" t="s">
        <v>195</v>
      </c>
      <c r="B68" s="2" t="s">
        <v>255</v>
      </c>
      <c r="C68" s="3" t="s">
        <v>613</v>
      </c>
      <c r="D68" s="2" t="s">
        <v>614</v>
      </c>
      <c r="E68" s="2" t="s">
        <v>258</v>
      </c>
      <c r="F68" s="2" t="s">
        <v>38</v>
      </c>
      <c r="G68" s="2" t="s">
        <v>18</v>
      </c>
      <c r="H68" s="2" t="s">
        <v>19</v>
      </c>
    </row>
    <row r="69" spans="1:8" ht="60" x14ac:dyDescent="0.25">
      <c r="A69" s="2" t="s">
        <v>195</v>
      </c>
      <c r="B69" s="2" t="s">
        <v>255</v>
      </c>
      <c r="C69" s="3" t="s">
        <v>615</v>
      </c>
      <c r="D69" s="2" t="s">
        <v>616</v>
      </c>
      <c r="E69" s="2" t="s">
        <v>258</v>
      </c>
      <c r="F69" s="2" t="s">
        <v>175</v>
      </c>
      <c r="G69" s="4" t="s">
        <v>617</v>
      </c>
      <c r="H69" s="2" t="s">
        <v>19</v>
      </c>
    </row>
    <row r="70" spans="1:8" ht="45" x14ac:dyDescent="0.25">
      <c r="A70" s="2" t="s">
        <v>195</v>
      </c>
      <c r="B70" s="2" t="s">
        <v>266</v>
      </c>
      <c r="C70" s="3" t="s">
        <v>267</v>
      </c>
      <c r="D70" s="2" t="s">
        <v>618</v>
      </c>
      <c r="E70" s="2" t="s">
        <v>619</v>
      </c>
      <c r="F70" s="2" t="s">
        <v>175</v>
      </c>
      <c r="G70" s="4" t="s">
        <v>620</v>
      </c>
      <c r="H70" s="2" t="s">
        <v>19</v>
      </c>
    </row>
    <row r="71" spans="1:8" ht="60" x14ac:dyDescent="0.25">
      <c r="A71" s="2" t="s">
        <v>195</v>
      </c>
      <c r="B71" s="2" t="s">
        <v>435</v>
      </c>
      <c r="C71" s="3" t="s">
        <v>262</v>
      </c>
      <c r="D71" s="2" t="s">
        <v>621</v>
      </c>
      <c r="E71" s="2" t="s">
        <v>258</v>
      </c>
      <c r="F71" s="2" t="s">
        <v>38</v>
      </c>
      <c r="G71" s="2" t="s">
        <v>18</v>
      </c>
      <c r="H71" s="2" t="s">
        <v>22</v>
      </c>
    </row>
    <row r="72" spans="1:8" ht="45" x14ac:dyDescent="0.25">
      <c r="A72" s="2" t="s">
        <v>195</v>
      </c>
      <c r="B72" s="2" t="s">
        <v>222</v>
      </c>
      <c r="C72" s="3" t="s">
        <v>223</v>
      </c>
      <c r="D72" s="2" t="s">
        <v>622</v>
      </c>
      <c r="E72" s="2" t="s">
        <v>83</v>
      </c>
      <c r="F72" s="2" t="s">
        <v>72</v>
      </c>
      <c r="G72" s="4" t="s">
        <v>623</v>
      </c>
      <c r="H72" s="2" t="s">
        <v>46</v>
      </c>
    </row>
    <row r="73" spans="1:8" ht="75" x14ac:dyDescent="0.25">
      <c r="A73" s="2" t="s">
        <v>195</v>
      </c>
      <c r="B73" s="2" t="s">
        <v>222</v>
      </c>
      <c r="C73" s="3" t="s">
        <v>624</v>
      </c>
      <c r="D73" s="2" t="s">
        <v>625</v>
      </c>
      <c r="E73" s="2" t="s">
        <v>228</v>
      </c>
      <c r="F73" s="2" t="s">
        <v>131</v>
      </c>
      <c r="G73" s="2" t="s">
        <v>18</v>
      </c>
      <c r="H73" s="2" t="s">
        <v>46</v>
      </c>
    </row>
    <row r="74" spans="1:8" ht="75" x14ac:dyDescent="0.25">
      <c r="A74" s="2" t="s">
        <v>195</v>
      </c>
      <c r="B74" s="2" t="s">
        <v>261</v>
      </c>
      <c r="C74" s="3" t="s">
        <v>626</v>
      </c>
      <c r="D74" s="2" t="s">
        <v>627</v>
      </c>
      <c r="E74" s="2" t="s">
        <v>228</v>
      </c>
      <c r="F74" s="2" t="s">
        <v>131</v>
      </c>
      <c r="G74" s="2" t="s">
        <v>18</v>
      </c>
      <c r="H74" s="2" t="s">
        <v>46</v>
      </c>
    </row>
    <row r="75" spans="1:8" ht="90" x14ac:dyDescent="0.25">
      <c r="A75" s="2" t="s">
        <v>195</v>
      </c>
      <c r="B75" s="2" t="s">
        <v>261</v>
      </c>
      <c r="C75" s="3" t="s">
        <v>628</v>
      </c>
      <c r="D75" s="2" t="s">
        <v>629</v>
      </c>
      <c r="E75" s="2" t="s">
        <v>228</v>
      </c>
      <c r="F75" s="2" t="s">
        <v>131</v>
      </c>
      <c r="G75" s="2" t="s">
        <v>18</v>
      </c>
      <c r="H75" s="2" t="s">
        <v>46</v>
      </c>
    </row>
    <row r="76" spans="1:8" ht="30" x14ac:dyDescent="0.25">
      <c r="A76" s="2" t="s">
        <v>195</v>
      </c>
      <c r="B76" s="2" t="s">
        <v>231</v>
      </c>
      <c r="C76" s="3" t="s">
        <v>232</v>
      </c>
      <c r="D76" s="2" t="s">
        <v>630</v>
      </c>
      <c r="E76" s="2" t="s">
        <v>83</v>
      </c>
      <c r="F76" s="2" t="s">
        <v>72</v>
      </c>
      <c r="G76" s="4" t="s">
        <v>631</v>
      </c>
      <c r="H76" s="2" t="s">
        <v>19</v>
      </c>
    </row>
    <row r="77" spans="1:8" ht="45" x14ac:dyDescent="0.25">
      <c r="A77" s="2" t="s">
        <v>195</v>
      </c>
      <c r="B77" s="2" t="s">
        <v>231</v>
      </c>
      <c r="C77" s="3" t="s">
        <v>235</v>
      </c>
      <c r="D77" s="2" t="s">
        <v>632</v>
      </c>
      <c r="E77" s="2" t="s">
        <v>83</v>
      </c>
      <c r="F77" s="2" t="s">
        <v>72</v>
      </c>
      <c r="G77" s="4" t="s">
        <v>631</v>
      </c>
      <c r="H77" s="2" t="s">
        <v>19</v>
      </c>
    </row>
    <row r="78" spans="1:8" ht="90" x14ac:dyDescent="0.25">
      <c r="A78" s="2" t="s">
        <v>195</v>
      </c>
      <c r="B78" s="2" t="s">
        <v>231</v>
      </c>
      <c r="C78" s="3" t="s">
        <v>633</v>
      </c>
      <c r="D78" s="2" t="s">
        <v>634</v>
      </c>
      <c r="E78" s="2" t="s">
        <v>83</v>
      </c>
      <c r="F78" s="2" t="s">
        <v>175</v>
      </c>
      <c r="G78" s="4" t="s">
        <v>635</v>
      </c>
      <c r="H78" s="2" t="s">
        <v>46</v>
      </c>
    </row>
    <row r="79" spans="1:8" ht="60" x14ac:dyDescent="0.25">
      <c r="A79" s="2" t="s">
        <v>195</v>
      </c>
      <c r="B79" s="2" t="s">
        <v>248</v>
      </c>
      <c r="C79" s="3" t="s">
        <v>249</v>
      </c>
      <c r="D79" s="2" t="s">
        <v>636</v>
      </c>
      <c r="E79" s="2" t="s">
        <v>637</v>
      </c>
      <c r="F79" s="2" t="s">
        <v>72</v>
      </c>
      <c r="G79" s="4" t="s">
        <v>638</v>
      </c>
      <c r="H79" s="2" t="s">
        <v>19</v>
      </c>
    </row>
    <row r="80" spans="1:8" ht="45" x14ac:dyDescent="0.25">
      <c r="A80" s="2" t="s">
        <v>195</v>
      </c>
      <c r="B80" s="2" t="s">
        <v>248</v>
      </c>
      <c r="C80" s="3" t="s">
        <v>252</v>
      </c>
      <c r="D80" s="2" t="s">
        <v>639</v>
      </c>
      <c r="E80" s="2" t="s">
        <v>640</v>
      </c>
      <c r="F80" s="2" t="s">
        <v>38</v>
      </c>
      <c r="G80" s="2" t="s">
        <v>18</v>
      </c>
      <c r="H80" s="2" t="s">
        <v>19</v>
      </c>
    </row>
    <row r="81" spans="1:8" ht="30" x14ac:dyDescent="0.25">
      <c r="A81" s="2" t="s">
        <v>195</v>
      </c>
      <c r="B81" s="2" t="s">
        <v>208</v>
      </c>
      <c r="C81" s="3" t="s">
        <v>209</v>
      </c>
      <c r="D81" s="2" t="s">
        <v>641</v>
      </c>
      <c r="E81" s="2" t="s">
        <v>211</v>
      </c>
      <c r="F81" s="2" t="s">
        <v>131</v>
      </c>
      <c r="G81" s="2" t="s">
        <v>18</v>
      </c>
      <c r="H81" s="2" t="s">
        <v>46</v>
      </c>
    </row>
    <row r="82" spans="1:8" ht="30" x14ac:dyDescent="0.25">
      <c r="A82" s="2" t="s">
        <v>195</v>
      </c>
      <c r="B82" s="2" t="s">
        <v>208</v>
      </c>
      <c r="C82" s="3" t="s">
        <v>642</v>
      </c>
      <c r="D82" s="2" t="s">
        <v>643</v>
      </c>
      <c r="E82" s="2" t="s">
        <v>211</v>
      </c>
      <c r="F82" s="2" t="s">
        <v>131</v>
      </c>
      <c r="G82" s="2" t="s">
        <v>18</v>
      </c>
      <c r="H82" s="2" t="s">
        <v>46</v>
      </c>
    </row>
    <row r="83" spans="1:8" ht="45" x14ac:dyDescent="0.25">
      <c r="A83" s="2" t="s">
        <v>195</v>
      </c>
      <c r="B83" s="2" t="s">
        <v>208</v>
      </c>
      <c r="C83" s="3" t="s">
        <v>219</v>
      </c>
      <c r="D83" s="2" t="s">
        <v>644</v>
      </c>
      <c r="E83" s="2" t="s">
        <v>645</v>
      </c>
      <c r="F83" s="2" t="s">
        <v>38</v>
      </c>
      <c r="G83" s="2" t="s">
        <v>18</v>
      </c>
      <c r="H83" s="2" t="s">
        <v>19</v>
      </c>
    </row>
    <row r="84" spans="1:8" ht="30" x14ac:dyDescent="0.25">
      <c r="A84" s="2" t="s">
        <v>195</v>
      </c>
      <c r="B84" s="2" t="s">
        <v>208</v>
      </c>
      <c r="C84" s="3" t="s">
        <v>216</v>
      </c>
      <c r="D84" s="2" t="s">
        <v>646</v>
      </c>
      <c r="E84" s="2" t="s">
        <v>482</v>
      </c>
      <c r="F84" s="2" t="s">
        <v>131</v>
      </c>
      <c r="G84" s="2" t="s">
        <v>18</v>
      </c>
      <c r="H84" s="2" t="s">
        <v>46</v>
      </c>
    </row>
    <row r="85" spans="1:8" ht="45" x14ac:dyDescent="0.25">
      <c r="A85" s="2" t="s">
        <v>195</v>
      </c>
      <c r="B85" s="2" t="s">
        <v>196</v>
      </c>
      <c r="C85" s="3" t="s">
        <v>647</v>
      </c>
      <c r="D85" s="2" t="s">
        <v>648</v>
      </c>
      <c r="E85" s="2" t="s">
        <v>203</v>
      </c>
      <c r="F85" s="2" t="s">
        <v>38</v>
      </c>
      <c r="G85" s="2" t="s">
        <v>18</v>
      </c>
      <c r="H85" s="2" t="s">
        <v>19</v>
      </c>
    </row>
    <row r="86" spans="1:8" ht="90" x14ac:dyDescent="0.25">
      <c r="A86" s="2" t="s">
        <v>195</v>
      </c>
      <c r="B86" s="2" t="s">
        <v>196</v>
      </c>
      <c r="C86" s="3" t="s">
        <v>649</v>
      </c>
      <c r="D86" s="2" t="s">
        <v>650</v>
      </c>
      <c r="E86" s="2" t="s">
        <v>203</v>
      </c>
      <c r="F86" s="2" t="s">
        <v>175</v>
      </c>
      <c r="G86" s="4" t="s">
        <v>651</v>
      </c>
      <c r="H86" s="2" t="s">
        <v>19</v>
      </c>
    </row>
    <row r="87" spans="1:8" ht="45" x14ac:dyDescent="0.25">
      <c r="A87" s="2" t="s">
        <v>195</v>
      </c>
      <c r="B87" s="2" t="s">
        <v>196</v>
      </c>
      <c r="C87" s="3" t="s">
        <v>201</v>
      </c>
      <c r="D87" s="2" t="s">
        <v>652</v>
      </c>
      <c r="E87" s="2" t="s">
        <v>203</v>
      </c>
      <c r="F87" s="2" t="s">
        <v>38</v>
      </c>
      <c r="G87" s="2" t="s">
        <v>18</v>
      </c>
      <c r="H87" s="2" t="s">
        <v>19</v>
      </c>
    </row>
    <row r="88" spans="1:8" ht="45" x14ac:dyDescent="0.25">
      <c r="A88" s="2" t="s">
        <v>195</v>
      </c>
      <c r="B88" s="2" t="s">
        <v>196</v>
      </c>
      <c r="C88" s="3" t="s">
        <v>653</v>
      </c>
      <c r="D88" s="2" t="s">
        <v>654</v>
      </c>
      <c r="E88" s="2" t="s">
        <v>203</v>
      </c>
      <c r="F88" s="2" t="s">
        <v>38</v>
      </c>
      <c r="G88" s="2" t="s">
        <v>18</v>
      </c>
      <c r="H88" s="2" t="s">
        <v>46</v>
      </c>
    </row>
    <row r="89" spans="1:8" ht="75" x14ac:dyDescent="0.25">
      <c r="A89" s="2" t="s">
        <v>195</v>
      </c>
      <c r="B89" s="2" t="s">
        <v>243</v>
      </c>
      <c r="C89" s="3" t="s">
        <v>655</v>
      </c>
      <c r="D89" s="2" t="s">
        <v>656</v>
      </c>
      <c r="E89" s="2" t="s">
        <v>246</v>
      </c>
      <c r="F89" s="2" t="s">
        <v>175</v>
      </c>
      <c r="G89" s="4" t="s">
        <v>657</v>
      </c>
      <c r="H89" s="2" t="s">
        <v>19</v>
      </c>
    </row>
    <row r="90" spans="1:8" ht="30" x14ac:dyDescent="0.25">
      <c r="A90" s="2" t="s">
        <v>195</v>
      </c>
      <c r="B90" s="2" t="s">
        <v>243</v>
      </c>
      <c r="C90" s="3" t="s">
        <v>658</v>
      </c>
      <c r="D90" s="2" t="s">
        <v>659</v>
      </c>
      <c r="E90" s="2" t="s">
        <v>246</v>
      </c>
      <c r="F90" s="2" t="s">
        <v>38</v>
      </c>
      <c r="G90" s="2" t="s">
        <v>18</v>
      </c>
      <c r="H90" s="2" t="s">
        <v>19</v>
      </c>
    </row>
    <row r="91" spans="1:8" ht="75" x14ac:dyDescent="0.25">
      <c r="A91" s="2" t="s">
        <v>195</v>
      </c>
      <c r="B91" s="2" t="s">
        <v>243</v>
      </c>
      <c r="C91" s="3" t="s">
        <v>660</v>
      </c>
      <c r="D91" s="2" t="s">
        <v>661</v>
      </c>
      <c r="E91" s="2" t="s">
        <v>662</v>
      </c>
      <c r="F91" s="2" t="s">
        <v>175</v>
      </c>
      <c r="G91" s="4" t="s">
        <v>663</v>
      </c>
      <c r="H91" s="2" t="s">
        <v>19</v>
      </c>
    </row>
    <row r="92" spans="1:8" ht="90" x14ac:dyDescent="0.25">
      <c r="A92" s="2" t="s">
        <v>195</v>
      </c>
      <c r="B92" s="2" t="s">
        <v>271</v>
      </c>
      <c r="C92" s="3" t="s">
        <v>272</v>
      </c>
      <c r="D92" s="2" t="s">
        <v>664</v>
      </c>
      <c r="E92" s="2" t="s">
        <v>665</v>
      </c>
      <c r="F92" s="2" t="s">
        <v>175</v>
      </c>
      <c r="G92" s="4" t="s">
        <v>666</v>
      </c>
      <c r="H92" s="2" t="s">
        <v>46</v>
      </c>
    </row>
    <row r="93" spans="1:8" ht="30" x14ac:dyDescent="0.25">
      <c r="A93" s="2" t="s">
        <v>195</v>
      </c>
      <c r="B93" s="2" t="s">
        <v>271</v>
      </c>
      <c r="C93" s="3" t="s">
        <v>667</v>
      </c>
      <c r="D93" s="2" t="s">
        <v>668</v>
      </c>
      <c r="E93" s="2" t="s">
        <v>278</v>
      </c>
      <c r="F93" s="2" t="s">
        <v>131</v>
      </c>
      <c r="G93" s="2" t="s">
        <v>18</v>
      </c>
      <c r="H93" s="2" t="s">
        <v>19</v>
      </c>
    </row>
    <row r="94" spans="1:8" ht="45" x14ac:dyDescent="0.25">
      <c r="A94" s="2" t="s">
        <v>195</v>
      </c>
      <c r="B94" s="2" t="s">
        <v>271</v>
      </c>
      <c r="C94" s="3" t="s">
        <v>669</v>
      </c>
      <c r="D94" s="2" t="s">
        <v>670</v>
      </c>
      <c r="E94" s="2" t="s">
        <v>278</v>
      </c>
      <c r="F94" s="2" t="s">
        <v>131</v>
      </c>
      <c r="G94" s="2" t="s">
        <v>18</v>
      </c>
      <c r="H94" s="2" t="s">
        <v>19</v>
      </c>
    </row>
    <row r="95" spans="1:8" ht="30" x14ac:dyDescent="0.25">
      <c r="A95" s="2" t="s">
        <v>195</v>
      </c>
      <c r="B95" s="2" t="s">
        <v>271</v>
      </c>
      <c r="C95" s="3" t="s">
        <v>671</v>
      </c>
      <c r="D95" s="2" t="s">
        <v>672</v>
      </c>
      <c r="E95" s="2" t="s">
        <v>278</v>
      </c>
      <c r="F95" s="2" t="s">
        <v>131</v>
      </c>
      <c r="G95" s="2" t="s">
        <v>18</v>
      </c>
      <c r="H95" s="2" t="s">
        <v>22</v>
      </c>
    </row>
    <row r="96" spans="1:8" ht="60" x14ac:dyDescent="0.25">
      <c r="A96" s="2" t="s">
        <v>195</v>
      </c>
      <c r="B96" s="2" t="s">
        <v>204</v>
      </c>
      <c r="C96" s="3" t="s">
        <v>205</v>
      </c>
      <c r="D96" s="2" t="s">
        <v>673</v>
      </c>
      <c r="E96" s="2" t="s">
        <v>207</v>
      </c>
      <c r="F96" s="2" t="s">
        <v>38</v>
      </c>
      <c r="G96" s="2" t="s">
        <v>18</v>
      </c>
      <c r="H96" s="2" t="s">
        <v>22</v>
      </c>
    </row>
    <row r="97" spans="1:8" ht="45" x14ac:dyDescent="0.25">
      <c r="A97" s="2" t="s">
        <v>279</v>
      </c>
      <c r="B97" s="2" t="s">
        <v>674</v>
      </c>
      <c r="C97" s="3" t="s">
        <v>675</v>
      </c>
      <c r="D97" s="2" t="s">
        <v>676</v>
      </c>
      <c r="E97" s="2" t="s">
        <v>25</v>
      </c>
      <c r="F97" s="2" t="s">
        <v>17</v>
      </c>
      <c r="G97" s="2" t="s">
        <v>18</v>
      </c>
      <c r="H97" s="2" t="s">
        <v>19</v>
      </c>
    </row>
    <row r="98" spans="1:8" ht="30" x14ac:dyDescent="0.25">
      <c r="A98" s="2" t="s">
        <v>279</v>
      </c>
      <c r="B98" s="2" t="s">
        <v>674</v>
      </c>
      <c r="C98" s="3" t="s">
        <v>677</v>
      </c>
      <c r="D98" s="2" t="s">
        <v>678</v>
      </c>
      <c r="E98" s="2" t="s">
        <v>25</v>
      </c>
      <c r="F98" s="2" t="s">
        <v>17</v>
      </c>
      <c r="G98" s="2" t="s">
        <v>18</v>
      </c>
      <c r="H98" s="2" t="s">
        <v>19</v>
      </c>
    </row>
    <row r="99" spans="1:8" ht="45" x14ac:dyDescent="0.25">
      <c r="A99" s="2" t="s">
        <v>279</v>
      </c>
      <c r="B99" s="2" t="s">
        <v>679</v>
      </c>
      <c r="C99" s="3" t="s">
        <v>283</v>
      </c>
      <c r="D99" s="2" t="s">
        <v>680</v>
      </c>
      <c r="E99" s="2" t="s">
        <v>681</v>
      </c>
      <c r="F99" s="2" t="s">
        <v>17</v>
      </c>
      <c r="G99" s="2" t="s">
        <v>18</v>
      </c>
      <c r="H99" s="2" t="s">
        <v>19</v>
      </c>
    </row>
    <row r="100" spans="1:8" ht="30" x14ac:dyDescent="0.25">
      <c r="A100" s="2" t="s">
        <v>279</v>
      </c>
      <c r="B100" s="2" t="s">
        <v>290</v>
      </c>
      <c r="C100" s="3" t="s">
        <v>291</v>
      </c>
      <c r="D100" s="2" t="s">
        <v>682</v>
      </c>
      <c r="E100" s="2" t="s">
        <v>16</v>
      </c>
      <c r="F100" s="2" t="s">
        <v>17</v>
      </c>
      <c r="G100" s="2" t="s">
        <v>18</v>
      </c>
      <c r="H100" s="2" t="s">
        <v>22</v>
      </c>
    </row>
    <row r="101" spans="1:8" ht="30" x14ac:dyDescent="0.25">
      <c r="A101" s="2" t="s">
        <v>279</v>
      </c>
      <c r="B101" s="2" t="s">
        <v>290</v>
      </c>
      <c r="C101" s="3" t="s">
        <v>293</v>
      </c>
      <c r="D101" s="2" t="s">
        <v>683</v>
      </c>
      <c r="E101" s="2" t="s">
        <v>25</v>
      </c>
      <c r="F101" s="2" t="s">
        <v>17</v>
      </c>
      <c r="G101" s="2" t="s">
        <v>18</v>
      </c>
      <c r="H101" s="2" t="s">
        <v>22</v>
      </c>
    </row>
    <row r="102" spans="1:8" ht="30" x14ac:dyDescent="0.25">
      <c r="A102" s="2" t="s">
        <v>279</v>
      </c>
      <c r="B102" s="2" t="s">
        <v>290</v>
      </c>
      <c r="C102" s="3" t="s">
        <v>295</v>
      </c>
      <c r="D102" s="2" t="s">
        <v>684</v>
      </c>
      <c r="E102" s="2" t="s">
        <v>25</v>
      </c>
      <c r="F102" s="2" t="s">
        <v>72</v>
      </c>
      <c r="G102" s="4" t="s">
        <v>297</v>
      </c>
      <c r="H102" s="2" t="s">
        <v>19</v>
      </c>
    </row>
    <row r="103" spans="1:8" ht="60" x14ac:dyDescent="0.25">
      <c r="A103" s="2" t="s">
        <v>279</v>
      </c>
      <c r="B103" s="2" t="s">
        <v>316</v>
      </c>
      <c r="C103" s="3" t="s">
        <v>685</v>
      </c>
      <c r="D103" s="2" t="s">
        <v>686</v>
      </c>
      <c r="E103" s="2" t="s">
        <v>25</v>
      </c>
      <c r="F103" s="2" t="s">
        <v>72</v>
      </c>
      <c r="G103" s="4" t="s">
        <v>289</v>
      </c>
      <c r="H103" s="2" t="s">
        <v>46</v>
      </c>
    </row>
    <row r="104" spans="1:8" ht="60" x14ac:dyDescent="0.25">
      <c r="A104" s="2" t="s">
        <v>279</v>
      </c>
      <c r="B104" s="2" t="s">
        <v>316</v>
      </c>
      <c r="C104" s="3" t="s">
        <v>687</v>
      </c>
      <c r="D104" s="2" t="s">
        <v>688</v>
      </c>
      <c r="E104" s="2" t="s">
        <v>25</v>
      </c>
      <c r="F104" s="2" t="s">
        <v>72</v>
      </c>
      <c r="G104" s="4" t="s">
        <v>289</v>
      </c>
      <c r="H104" s="2" t="s">
        <v>19</v>
      </c>
    </row>
    <row r="105" spans="1:8" ht="60" x14ac:dyDescent="0.25">
      <c r="A105" s="2" t="s">
        <v>279</v>
      </c>
      <c r="B105" s="2" t="s">
        <v>316</v>
      </c>
      <c r="C105" s="3" t="s">
        <v>689</v>
      </c>
      <c r="D105" s="2" t="s">
        <v>690</v>
      </c>
      <c r="E105" s="2" t="s">
        <v>25</v>
      </c>
      <c r="F105" s="2" t="s">
        <v>72</v>
      </c>
      <c r="G105" s="4" t="s">
        <v>289</v>
      </c>
      <c r="H105" s="2" t="s">
        <v>19</v>
      </c>
    </row>
    <row r="106" spans="1:8" ht="30" x14ac:dyDescent="0.25">
      <c r="A106" s="2" t="s">
        <v>298</v>
      </c>
      <c r="B106" s="2" t="s">
        <v>321</v>
      </c>
      <c r="C106" s="3" t="s">
        <v>691</v>
      </c>
      <c r="D106" s="2" t="s">
        <v>692</v>
      </c>
      <c r="E106" s="2" t="s">
        <v>194</v>
      </c>
      <c r="F106" s="2" t="s">
        <v>131</v>
      </c>
      <c r="G106" s="2" t="s">
        <v>18</v>
      </c>
      <c r="H106" s="2" t="s">
        <v>46</v>
      </c>
    </row>
    <row r="107" spans="1:8" ht="45" x14ac:dyDescent="0.25">
      <c r="A107" s="2" t="s">
        <v>298</v>
      </c>
      <c r="B107" s="2" t="s">
        <v>321</v>
      </c>
      <c r="C107" s="3" t="s">
        <v>693</v>
      </c>
      <c r="D107" s="2" t="s">
        <v>694</v>
      </c>
      <c r="E107" s="2" t="s">
        <v>194</v>
      </c>
      <c r="F107" s="2" t="s">
        <v>131</v>
      </c>
      <c r="G107" s="2" t="s">
        <v>18</v>
      </c>
      <c r="H107" s="2" t="s">
        <v>46</v>
      </c>
    </row>
    <row r="108" spans="1:8" ht="30" x14ac:dyDescent="0.25">
      <c r="A108" s="2" t="s">
        <v>298</v>
      </c>
      <c r="B108" s="2" t="s">
        <v>321</v>
      </c>
      <c r="C108" s="3" t="s">
        <v>695</v>
      </c>
      <c r="D108" s="2" t="s">
        <v>577</v>
      </c>
      <c r="E108" s="2" t="s">
        <v>194</v>
      </c>
      <c r="F108" s="2" t="s">
        <v>131</v>
      </c>
      <c r="G108" s="2" t="s">
        <v>18</v>
      </c>
      <c r="H108" s="2" t="s">
        <v>19</v>
      </c>
    </row>
    <row r="109" spans="1:8" ht="45" x14ac:dyDescent="0.25">
      <c r="A109" s="2" t="s">
        <v>298</v>
      </c>
      <c r="B109" s="2" t="s">
        <v>299</v>
      </c>
      <c r="C109" s="3" t="s">
        <v>300</v>
      </c>
      <c r="D109" s="2" t="s">
        <v>696</v>
      </c>
      <c r="E109" s="2" t="s">
        <v>16</v>
      </c>
      <c r="F109" s="2" t="s">
        <v>302</v>
      </c>
      <c r="G109" s="4" t="s">
        <v>303</v>
      </c>
      <c r="H109" s="2" t="s">
        <v>19</v>
      </c>
    </row>
    <row r="110" spans="1:8" ht="30" x14ac:dyDescent="0.25">
      <c r="A110" s="2" t="s">
        <v>298</v>
      </c>
      <c r="B110" s="2" t="s">
        <v>307</v>
      </c>
      <c r="C110" s="3" t="s">
        <v>324</v>
      </c>
      <c r="D110" s="2" t="s">
        <v>697</v>
      </c>
      <c r="E110" s="2" t="s">
        <v>698</v>
      </c>
      <c r="F110" s="2" t="s">
        <v>131</v>
      </c>
      <c r="G110" s="2" t="s">
        <v>18</v>
      </c>
      <c r="H110" s="2" t="s">
        <v>46</v>
      </c>
    </row>
    <row r="111" spans="1:8" ht="45" x14ac:dyDescent="0.25">
      <c r="A111" s="2" t="s">
        <v>298</v>
      </c>
      <c r="B111" s="2" t="s">
        <v>307</v>
      </c>
      <c r="C111" s="3" t="s">
        <v>308</v>
      </c>
      <c r="D111" s="2" t="s">
        <v>699</v>
      </c>
      <c r="E111" s="2" t="s">
        <v>700</v>
      </c>
      <c r="F111" s="2" t="s">
        <v>184</v>
      </c>
      <c r="G111" s="4" t="s">
        <v>311</v>
      </c>
      <c r="H111" s="2" t="s">
        <v>19</v>
      </c>
    </row>
    <row r="112" spans="1:8" ht="45" x14ac:dyDescent="0.25">
      <c r="A112" s="2" t="s">
        <v>298</v>
      </c>
      <c r="B112" s="2" t="s">
        <v>312</v>
      </c>
      <c r="C112" s="3" t="s">
        <v>313</v>
      </c>
      <c r="D112" s="2" t="s">
        <v>701</v>
      </c>
      <c r="E112" s="2" t="s">
        <v>16</v>
      </c>
      <c r="F112" s="2" t="s">
        <v>302</v>
      </c>
      <c r="G112" s="4" t="s">
        <v>315</v>
      </c>
      <c r="H112" s="2" t="s">
        <v>19</v>
      </c>
    </row>
    <row r="113" spans="1:8" ht="75" x14ac:dyDescent="0.25">
      <c r="A113" s="2" t="s">
        <v>298</v>
      </c>
      <c r="B113" s="2" t="s">
        <v>316</v>
      </c>
      <c r="C113" s="3" t="s">
        <v>317</v>
      </c>
      <c r="D113" s="2" t="s">
        <v>702</v>
      </c>
      <c r="E113" s="2" t="s">
        <v>703</v>
      </c>
      <c r="F113" s="2" t="s">
        <v>72</v>
      </c>
      <c r="G113" s="2" t="s">
        <v>320</v>
      </c>
      <c r="H113" s="2" t="s">
        <v>19</v>
      </c>
    </row>
    <row r="114" spans="1:8" ht="30" x14ac:dyDescent="0.25">
      <c r="A114" s="2" t="s">
        <v>298</v>
      </c>
      <c r="B114" s="2" t="s">
        <v>327</v>
      </c>
      <c r="C114" s="3" t="s">
        <v>328</v>
      </c>
      <c r="D114" s="2" t="s">
        <v>704</v>
      </c>
      <c r="E114" s="2" t="s">
        <v>705</v>
      </c>
      <c r="F114" s="2" t="s">
        <v>131</v>
      </c>
      <c r="G114" s="2" t="s">
        <v>18</v>
      </c>
      <c r="H114" s="2" t="s">
        <v>19</v>
      </c>
    </row>
    <row r="115" spans="1:8" ht="30" x14ac:dyDescent="0.25">
      <c r="A115" s="2" t="s">
        <v>298</v>
      </c>
      <c r="B115" s="2" t="s">
        <v>327</v>
      </c>
      <c r="C115" s="3" t="s">
        <v>331</v>
      </c>
      <c r="D115" s="2" t="s">
        <v>706</v>
      </c>
      <c r="E115" s="2" t="s">
        <v>278</v>
      </c>
      <c r="F115" s="2" t="s">
        <v>131</v>
      </c>
      <c r="G115" s="2" t="s">
        <v>18</v>
      </c>
      <c r="H115" s="2" t="s">
        <v>19</v>
      </c>
    </row>
    <row r="116" spans="1:8" ht="45" x14ac:dyDescent="0.25">
      <c r="A116" s="2" t="s">
        <v>298</v>
      </c>
      <c r="B116" s="2" t="s">
        <v>307</v>
      </c>
      <c r="C116" s="3" t="s">
        <v>333</v>
      </c>
      <c r="D116" s="2" t="s">
        <v>707</v>
      </c>
      <c r="E116" s="2" t="s">
        <v>708</v>
      </c>
      <c r="F116" s="2" t="s">
        <v>131</v>
      </c>
      <c r="G116" s="2" t="s">
        <v>18</v>
      </c>
      <c r="H116" s="2" t="s">
        <v>46</v>
      </c>
    </row>
  </sheetData>
  <autoFilter ref="A1:H118" xr:uid="{FBE526C9-09A2-4A99-97BB-151DD8C3AFB9}"/>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B9E5947890A84F90C1025035B3A9E9" ma:contentTypeVersion="13" ma:contentTypeDescription="Create a new document." ma:contentTypeScope="" ma:versionID="abb99fc9a48c7a251434465201697796">
  <xsd:schema xmlns:xsd="http://www.w3.org/2001/XMLSchema" xmlns:xs="http://www.w3.org/2001/XMLSchema" xmlns:p="http://schemas.microsoft.com/office/2006/metadata/properties" xmlns:ns2="139fca70-673f-44e1-94c2-b523bb9c108c" xmlns:ns3="7eaf932d-7370-48c5-9459-ae540daf9d7d" targetNamespace="http://schemas.microsoft.com/office/2006/metadata/properties" ma:root="true" ma:fieldsID="d5c101f0e739d89bf88b83005715ab8d" ns2:_="" ns3:_="">
    <xsd:import namespace="139fca70-673f-44e1-94c2-b523bb9c108c"/>
    <xsd:import namespace="7eaf932d-7370-48c5-9459-ae540daf9d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9fca70-673f-44e1-94c2-b523bb9c10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af932d-7370-48c5-9459-ae540daf9d7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f2d49e1-b53e-4623-875d-9c890e3999b7}" ma:internalName="TaxCatchAll" ma:showField="CatchAllData" ma:web="7eaf932d-7370-48c5-9459-ae540daf9d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39fca70-673f-44e1-94c2-b523bb9c108c">
      <Terms xmlns="http://schemas.microsoft.com/office/infopath/2007/PartnerControls"/>
    </lcf76f155ced4ddcb4097134ff3c332f>
    <TaxCatchAll xmlns="7eaf932d-7370-48c5-9459-ae540daf9d7d" xsi:nil="true"/>
  </documentManagement>
</p:properties>
</file>

<file path=customXml/itemProps1.xml><?xml version="1.0" encoding="utf-8"?>
<ds:datastoreItem xmlns:ds="http://schemas.openxmlformats.org/officeDocument/2006/customXml" ds:itemID="{3BB2BB8B-BA4E-4835-AC34-431A62162A7D}">
  <ds:schemaRefs>
    <ds:schemaRef ds:uri="http://schemas.microsoft.com/sharepoint/v3/contenttype/forms"/>
  </ds:schemaRefs>
</ds:datastoreItem>
</file>

<file path=customXml/itemProps2.xml><?xml version="1.0" encoding="utf-8"?>
<ds:datastoreItem xmlns:ds="http://schemas.openxmlformats.org/officeDocument/2006/customXml" ds:itemID="{82D5B6C7-9BF1-46B8-8CAF-B305B78CEC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9fca70-673f-44e1-94c2-b523bb9c108c"/>
    <ds:schemaRef ds:uri="7eaf932d-7370-48c5-9459-ae540daf9d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57CF69-5D19-450C-935B-68EC43A8DA31}">
  <ds:schemaRefs>
    <ds:schemaRef ds:uri="http://schemas.microsoft.com/office/2006/documentManagement/types"/>
    <ds:schemaRef ds:uri="139fca70-673f-44e1-94c2-b523bb9c108c"/>
    <ds:schemaRef ds:uri="http://schemas.openxmlformats.org/package/2006/metadata/core-properties"/>
    <ds:schemaRef ds:uri="http://purl.org/dc/terms/"/>
    <ds:schemaRef ds:uri="http://www.w3.org/XML/1998/namespace"/>
    <ds:schemaRef ds:uri="http://purl.org/dc/elements/1.1/"/>
    <ds:schemaRef ds:uri="http://schemas.microsoft.com/office/infopath/2007/PartnerControls"/>
    <ds:schemaRef ds:uri="7eaf932d-7370-48c5-9459-ae540daf9d7d"/>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 Hierarchy</vt:lpstr>
      <vt:lpstr>Breakdown</vt:lpstr>
      <vt:lpstr>Not Applicable</vt:lpstr>
      <vt:lpstr>Process Hier (ARCHIVE)</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Tony Calabro</dc:creator>
  <cp:keywords/>
  <dc:description/>
  <cp:lastModifiedBy>Tony Calabro</cp:lastModifiedBy>
  <cp:revision/>
  <dcterms:created xsi:type="dcterms:W3CDTF">2025-11-04T17:02:59Z</dcterms:created>
  <dcterms:modified xsi:type="dcterms:W3CDTF">2026-01-16T12:13:09Z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0x010100DFB9E5947890A84F90C1025035B3A9E9</vt:lpwstr>
  </property>
  <property fmtid="{D5CDD505-2E9C-101B-9397-08002B2CF9AE}" pid="3" name="MediaServiceImageTags">
    <vt:lpwstr/>
  </property>
</Properties>
</file>